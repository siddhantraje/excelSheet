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p.000\Desktop\"/>
    </mc:Choice>
  </mc:AlternateContent>
  <xr:revisionPtr revIDLastSave="0" documentId="13_ncr:1_{29FCD16A-5742-4C92-B011-8FC140746913}" xr6:coauthVersionLast="45" xr6:coauthVersionMax="45" xr10:uidLastSave="{00000000-0000-0000-0000-000000000000}"/>
  <bookViews>
    <workbookView xWindow="-108" yWindow="-108" windowWidth="23256" windowHeight="12576" tabRatio="867" activeTab="2" xr2:uid="{00000000-000D-0000-FFFF-FFFF00000000}"/>
  </bookViews>
  <sheets>
    <sheet name="UserFormSheet" sheetId="40" r:id="rId1"/>
    <sheet name="UserFormSheet (2)" sheetId="43" r:id="rId2"/>
    <sheet name="pardeshi archana" sheetId="1" r:id="rId3"/>
    <sheet name="S S KESARKAR" sheetId="2" r:id="rId4"/>
    <sheet name="V M MANDREKAR" sheetId="3" r:id="rId5"/>
    <sheet name="M  D RANE" sheetId="4" r:id="rId6"/>
    <sheet name="D G RATHOD" sheetId="5" r:id="rId7"/>
    <sheet name="D L LAD" sheetId="6" r:id="rId8"/>
    <sheet name="R R SAWNANT " sheetId="7" r:id="rId9"/>
    <sheet name="S D BAMBALE" sheetId="8" r:id="rId10"/>
    <sheet name="M V CHANDRAN" sheetId="9" r:id="rId11"/>
    <sheet name="P D CHAVAN" sheetId="10" r:id="rId12"/>
    <sheet name="R S GAJARMAL" sheetId="11" r:id="rId13"/>
    <sheet name="L D HADKAR" sheetId="12" r:id="rId14"/>
    <sheet name="S P MORE" sheetId="13" r:id="rId15"/>
    <sheet name="S M NAIK" sheetId="14" r:id="rId16"/>
    <sheet name="M B YADAV" sheetId="15" r:id="rId17"/>
    <sheet name="D B GHOLE" sheetId="16" r:id="rId18"/>
    <sheet name="U M KOLI" sheetId="17" r:id="rId19"/>
    <sheet name="D S NAKAYE" sheetId="18" r:id="rId20"/>
    <sheet name="S V PAGARE" sheetId="19" r:id="rId21"/>
    <sheet name="R R SARVANKAR" sheetId="20" r:id="rId22"/>
    <sheet name="H B SURYAVANSHI" sheetId="21" r:id="rId23"/>
    <sheet name="K G BALANDE" sheetId="22" r:id="rId24"/>
    <sheet name="S V KALE" sheetId="23" r:id="rId25"/>
    <sheet name="S G BANGAL" sheetId="24" r:id="rId26"/>
    <sheet name="A V GHANVAT" sheetId="25" r:id="rId27"/>
    <sheet name="S V HURNEKAR" sheetId="26" r:id="rId28"/>
    <sheet name="C S MUTTHU" sheetId="34" r:id="rId29"/>
    <sheet name="S G KUVLEKAR" sheetId="27" r:id="rId30"/>
    <sheet name="K D MOHITE" sheetId="28" r:id="rId31"/>
    <sheet name="S S RANGANKAR" sheetId="29" r:id="rId32"/>
    <sheet name="S N SHETTY" sheetId="30" r:id="rId33"/>
    <sheet name="R J SHINDE" sheetId="31" r:id="rId34"/>
    <sheet name="P R UNVHANE" sheetId="32" r:id="rId35"/>
    <sheet name="TEMPORary" sheetId="33" r:id="rId36"/>
    <sheet name="n s bordekar" sheetId="35" r:id="rId37"/>
    <sheet name="a b zore" sheetId="36" r:id="rId38"/>
    <sheet name="a a datt" sheetId="37" r:id="rId39"/>
    <sheet name="n d sharma" sheetId="38" r:id="rId40"/>
    <sheet name="S R BARVE" sheetId="39" r:id="rId41"/>
  </sheets>
  <definedNames>
    <definedName name="Months">#REF!</definedName>
  </definedNames>
  <calcPr calcId="181029"/>
</workbook>
</file>

<file path=xl/calcChain.xml><?xml version="1.0" encoding="utf-8"?>
<calcChain xmlns="http://schemas.openxmlformats.org/spreadsheetml/2006/main">
  <c r="C2" i="43" l="1"/>
  <c r="C3" i="43"/>
  <c r="C4" i="43"/>
  <c r="C5" i="43"/>
  <c r="C6" i="43"/>
  <c r="C7" i="43"/>
  <c r="C8" i="43"/>
  <c r="C9" i="43"/>
  <c r="C10" i="43"/>
  <c r="C11" i="43"/>
  <c r="C12" i="43"/>
  <c r="C13" i="43"/>
  <c r="C14" i="43"/>
  <c r="C15" i="43"/>
  <c r="C16" i="43"/>
  <c r="C17" i="43"/>
  <c r="C18" i="43"/>
  <c r="C19" i="43"/>
  <c r="C20" i="43"/>
  <c r="C21" i="43"/>
  <c r="C22" i="43"/>
  <c r="C23" i="43"/>
  <c r="C24" i="43"/>
  <c r="C25" i="43"/>
  <c r="C26" i="43"/>
  <c r="C27" i="43"/>
  <c r="C28" i="43"/>
  <c r="C29" i="43"/>
  <c r="C30" i="43"/>
  <c r="C31" i="43"/>
  <c r="C32" i="43"/>
  <c r="C33" i="43"/>
  <c r="C34" i="43"/>
  <c r="C35" i="43"/>
  <c r="C36" i="43"/>
  <c r="C37" i="43"/>
  <c r="C38" i="43"/>
  <c r="C39" i="43"/>
  <c r="C40" i="43"/>
  <c r="C41" i="43"/>
  <c r="C42" i="43"/>
  <c r="C43" i="43"/>
  <c r="C44" i="43"/>
  <c r="C45" i="43"/>
  <c r="C46" i="43"/>
  <c r="C47" i="43"/>
  <c r="C48" i="43"/>
  <c r="C10" i="1" l="1"/>
</calcChain>
</file>

<file path=xl/sharedStrings.xml><?xml version="1.0" encoding="utf-8"?>
<sst xmlns="http://schemas.openxmlformats.org/spreadsheetml/2006/main" count="2184" uniqueCount="81">
  <si>
    <t>Name of Employee</t>
  </si>
  <si>
    <t>कालावधी</t>
  </si>
  <si>
    <t>तपशील</t>
  </si>
  <si>
    <t>रजा वेतन</t>
  </si>
  <si>
    <t>अतिरिक्त महागाई भत्ता</t>
  </si>
  <si>
    <t xml:space="preserve"> अतिकालीन भत्ता</t>
  </si>
  <si>
    <t xml:space="preserve">इतर भत्ते </t>
  </si>
  <si>
    <t>व्यचसाय भत्ते</t>
  </si>
  <si>
    <t>वेतन अग्रीम</t>
  </si>
  <si>
    <t>सहकारी गृह बांधणीचा हप्ता</t>
  </si>
  <si>
    <t>दिर्घकालीन अग्रीम</t>
  </si>
  <si>
    <t>संगणक अग्रीम</t>
  </si>
  <si>
    <t>घरबांधणी अग्रीम</t>
  </si>
  <si>
    <t>मोटार कार/अन्य मोटार वाहन अ्ग्रीम</t>
  </si>
  <si>
    <t>अन्य वाहन सायकल अग्रीम</t>
  </si>
  <si>
    <t>अल्पकालीन अग्रिम</t>
  </si>
  <si>
    <t>उत्सव अग्रिम</t>
  </si>
  <si>
    <t>अन्य अग्रिम</t>
  </si>
  <si>
    <t xml:space="preserve">अग्रिमावर वसूल केलेले व्याज 0049 </t>
  </si>
  <si>
    <t xml:space="preserve">वसुली </t>
  </si>
  <si>
    <t>डाक विमा योजना</t>
  </si>
  <si>
    <t>आयकर</t>
  </si>
  <si>
    <t>कोषागारातून न केली जाणारी रक्कम</t>
  </si>
  <si>
    <t>आयुर्विमा पॉलीसीची वर्गणी</t>
  </si>
  <si>
    <t>डाक आवर्ती ठेव योजना वर्गणी</t>
  </si>
  <si>
    <t>पर्यवेक्षी अधिकारी/ अधिक्षकाची आज्ञाक्षरी</t>
  </si>
  <si>
    <t>देयक क्रमांक व दिनांक</t>
  </si>
  <si>
    <t>शेरा</t>
  </si>
  <si>
    <t>मार्च  2020</t>
  </si>
  <si>
    <t>एप्रिल 2020</t>
  </si>
  <si>
    <t>मे 2020</t>
  </si>
  <si>
    <t>जुन 2020</t>
  </si>
  <si>
    <t>जुलै 2020</t>
  </si>
  <si>
    <t>ऑगस्ट 2020</t>
  </si>
  <si>
    <t>सप्टेंबर 2020</t>
  </si>
  <si>
    <t>ऑक्टोबर 2020</t>
  </si>
  <si>
    <t>नोव्हेंबर 2020</t>
  </si>
  <si>
    <t>डिसेंबर 2020</t>
  </si>
  <si>
    <t>जानेवारी 2020</t>
  </si>
  <si>
    <t>फेब्रुवारी 2020</t>
  </si>
  <si>
    <t>वेतन विशेष वेतन BASIC</t>
  </si>
  <si>
    <t xml:space="preserve">महागाई भत्ता DA </t>
  </si>
  <si>
    <t>घरभाडे भत्ता HRA</t>
  </si>
  <si>
    <t>वाहतूक भत्ता TA</t>
  </si>
  <si>
    <t>शहरपूरक भत्ता CLA</t>
  </si>
  <si>
    <t>एकूण देय रक्कम GROSS</t>
  </si>
  <si>
    <t>भ'निनि. वर्गणी GPF</t>
  </si>
  <si>
    <t>गट विमा योजना GIS</t>
  </si>
  <si>
    <t>अनुज्ञप्ति फीHRR  +ser</t>
  </si>
  <si>
    <t>भनिनि अग्रीम gpf advance</t>
  </si>
  <si>
    <t>व्यवसाय कर pt</t>
  </si>
  <si>
    <t>एकूण वजाती total deduction</t>
  </si>
  <si>
    <t>कोषागारातील निव्वळ देय रक्कम net pay</t>
  </si>
  <si>
    <t>ARCHANA PARDESI</t>
  </si>
  <si>
    <t>KESARKAR</t>
  </si>
  <si>
    <t>440+52</t>
  </si>
  <si>
    <t>6/10 1250</t>
  </si>
  <si>
    <t>RATHOD</t>
  </si>
  <si>
    <t>अग्रिमावर वसूल केलेले व्याज 0049 HBA</t>
  </si>
  <si>
    <t>20/23 636</t>
  </si>
  <si>
    <t>LAD</t>
  </si>
  <si>
    <t>130+52</t>
  </si>
  <si>
    <t>इतर भत्ते washing</t>
  </si>
  <si>
    <t>180/180 825</t>
  </si>
  <si>
    <t>177/190 1200</t>
  </si>
  <si>
    <t>Month List</t>
  </si>
  <si>
    <t>Years</t>
  </si>
  <si>
    <t>जानेवारी</t>
  </si>
  <si>
    <t>फेब्रुवारी</t>
  </si>
  <si>
    <t>मार्च</t>
  </si>
  <si>
    <t>एप्रिल</t>
  </si>
  <si>
    <t>मे</t>
  </si>
  <si>
    <t>जुन</t>
  </si>
  <si>
    <t>जुलै</t>
  </si>
  <si>
    <t>ऑगस्ट</t>
  </si>
  <si>
    <t>सप्टेंबर</t>
  </si>
  <si>
    <t>ऑक्टोबर</t>
  </si>
  <si>
    <t>नोव्हेंबर</t>
  </si>
  <si>
    <t>डिसेंबर</t>
  </si>
  <si>
    <t>जानेवारी 2021</t>
  </si>
  <si>
    <t>फेब्रुवारी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</si>
</sst>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00439]0"/>
  </numFmts>
  <fonts count="1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Sakal Marathi"/>
    </font>
    <font>
      <sz val="12"/>
      <name val="Calibri"/>
      <family val="2"/>
      <scheme val="minor"/>
    </font>
    <font>
      <b/>
      <sz val="12"/>
      <name val="Sakal Marathi"/>
    </font>
    <font>
      <u/>
      <sz val="11"/>
      <color theme="10"/>
      <name val="Calibri"/>
      <family val="2"/>
      <scheme val="minor"/>
    </font>
    <font>
      <sz val="11"/>
      <color theme="1"/>
      <name val="Sakal Marathi"/>
    </font>
    <font>
      <sz val="14"/>
      <color theme="1"/>
      <name val="Calibri"/>
      <family val="2"/>
      <scheme val="minor"/>
    </font>
    <font>
      <sz val="14"/>
      <name val="Sakal Marathi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</fills>
  <borders count="3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1" applyNumberFormat="0" applyAlignment="0" applyProtection="0"/>
    <xf numFmtId="0" fontId="9" fillId="0" borderId="0" applyNumberFormat="0" applyFill="0" applyBorder="0" applyAlignment="0" applyProtection="0"/>
  </cellStyleXfs>
  <cellXfs count="21">
    <xf numFmtId="0" fontId="0" fillId="0" borderId="0" xfId="0"/>
    <xf numFmtId="0" fontId="6" fillId="0" borderId="2" xfId="0" applyFont="1" applyBorder="1"/>
    <xf numFmtId="0" fontId="6" fillId="0" borderId="2" xfId="0" applyFont="1" applyBorder="1" applyAlignment="1">
      <alignment horizontal="center" vertical="center"/>
    </xf>
    <xf numFmtId="0" fontId="7" fillId="2" borderId="2" xfId="1" applyFont="1" applyBorder="1" applyAlignment="1">
      <alignment horizontal="center" vertical="center"/>
    </xf>
    <xf numFmtId="0" fontId="7" fillId="2" borderId="2" xfId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5" fillId="3" borderId="2" xfId="2" applyFont="1" applyBorder="1" applyAlignment="1">
      <alignment horizontal="center" vertical="center"/>
    </xf>
    <xf numFmtId="0" fontId="5" fillId="3" borderId="2" xfId="2" applyFont="1" applyBorder="1" applyAlignment="1">
      <alignment horizontal="center" vertical="center" wrapText="1"/>
    </xf>
    <xf numFmtId="0" fontId="5" fillId="5" borderId="1" xfId="4" applyFont="1" applyAlignment="1">
      <alignment horizontal="center" vertical="center"/>
    </xf>
    <xf numFmtId="0" fontId="5" fillId="5" borderId="1" xfId="4" applyFont="1" applyAlignment="1">
      <alignment horizontal="center" vertical="center" wrapText="1"/>
    </xf>
    <xf numFmtId="0" fontId="7" fillId="4" borderId="2" xfId="3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5" fillId="4" borderId="2" xfId="3" applyFont="1" applyBorder="1" applyAlignment="1">
      <alignment horizontal="center" vertical="center" wrapText="1"/>
    </xf>
    <xf numFmtId="0" fontId="1" fillId="2" borderId="2" xfId="1" applyBorder="1" applyAlignment="1">
      <alignment horizontal="center" vertical="center"/>
    </xf>
    <xf numFmtId="0" fontId="6" fillId="0" borderId="2" xfId="0" applyFont="1" applyBorder="1" applyAlignment="1">
      <alignment wrapText="1"/>
    </xf>
    <xf numFmtId="0" fontId="9" fillId="0" borderId="0" xfId="5"/>
    <xf numFmtId="0" fontId="10" fillId="0" borderId="0" xfId="0" applyFont="1"/>
    <xf numFmtId="0" fontId="0" fillId="0" borderId="0" xfId="0" applyFont="1"/>
    <xf numFmtId="0" fontId="11" fillId="0" borderId="0" xfId="0" applyFont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</cellXfs>
  <cellStyles count="6">
    <cellStyle name="Bad" xfId="2" builtinId="27"/>
    <cellStyle name="Check Cell" xfId="4" builtinId="23"/>
    <cellStyle name="Good" xfId="1" builtinId="26"/>
    <cellStyle name="Hyperlink" xfId="5" builtinId="8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B32AF-45FD-4939-843C-045F5BB418B0}">
  <sheetPr codeName="Sheet4"/>
  <dimension ref="B2:C27"/>
  <sheetViews>
    <sheetView zoomScaleNormal="100" workbookViewId="0">
      <selection activeCell="D19" sqref="D19"/>
    </sheetView>
  </sheetViews>
  <sheetFormatPr defaultRowHeight="14.4" x14ac:dyDescent="0.3"/>
  <cols>
    <col min="1" max="1" width="9.88671875" bestFit="1" customWidth="1"/>
    <col min="2" max="2" width="15.88671875" customWidth="1"/>
    <col min="3" max="3" width="15.5546875" customWidth="1"/>
    <col min="4" max="4" width="18.5546875" customWidth="1"/>
  </cols>
  <sheetData>
    <row r="2" spans="2:3" ht="18" x14ac:dyDescent="0.3">
      <c r="B2" s="18" t="s">
        <v>65</v>
      </c>
      <c r="C2" s="18" t="s">
        <v>66</v>
      </c>
    </row>
    <row r="3" spans="2:3" ht="24" x14ac:dyDescent="0.3">
      <c r="B3" s="19" t="s">
        <v>67</v>
      </c>
      <c r="C3" s="20">
        <v>2012</v>
      </c>
    </row>
    <row r="4" spans="2:3" ht="24" x14ac:dyDescent="0.3">
      <c r="B4" s="19" t="s">
        <v>68</v>
      </c>
      <c r="C4" s="20">
        <v>2013</v>
      </c>
    </row>
    <row r="5" spans="2:3" ht="24" x14ac:dyDescent="0.3">
      <c r="B5" s="19" t="s">
        <v>69</v>
      </c>
      <c r="C5" s="20">
        <v>2014</v>
      </c>
    </row>
    <row r="6" spans="2:3" ht="24" x14ac:dyDescent="0.3">
      <c r="B6" s="19" t="s">
        <v>70</v>
      </c>
      <c r="C6" s="20">
        <v>2015</v>
      </c>
    </row>
    <row r="7" spans="2:3" ht="24" x14ac:dyDescent="0.3">
      <c r="B7" s="19" t="s">
        <v>71</v>
      </c>
      <c r="C7" s="20">
        <v>2016</v>
      </c>
    </row>
    <row r="8" spans="2:3" ht="24" x14ac:dyDescent="0.3">
      <c r="B8" s="19" t="s">
        <v>72</v>
      </c>
      <c r="C8" s="20">
        <v>2017</v>
      </c>
    </row>
    <row r="9" spans="2:3" ht="24" x14ac:dyDescent="0.3">
      <c r="B9" s="19" t="s">
        <v>73</v>
      </c>
      <c r="C9" s="20">
        <v>2018</v>
      </c>
    </row>
    <row r="10" spans="2:3" ht="24" x14ac:dyDescent="0.3">
      <c r="B10" s="19" t="s">
        <v>74</v>
      </c>
      <c r="C10" s="20">
        <v>2019</v>
      </c>
    </row>
    <row r="11" spans="2:3" ht="24" x14ac:dyDescent="0.3">
      <c r="B11" s="19" t="s">
        <v>75</v>
      </c>
      <c r="C11" s="20">
        <v>2020</v>
      </c>
    </row>
    <row r="12" spans="2:3" ht="24" x14ac:dyDescent="0.3">
      <c r="B12" s="19" t="s">
        <v>76</v>
      </c>
      <c r="C12" s="20">
        <v>2021</v>
      </c>
    </row>
    <row r="13" spans="2:3" ht="24" x14ac:dyDescent="0.3">
      <c r="B13" s="19" t="s">
        <v>77</v>
      </c>
      <c r="C13" s="20">
        <v>2022</v>
      </c>
    </row>
    <row r="14" spans="2:3" ht="24" x14ac:dyDescent="0.3">
      <c r="B14" s="19" t="s">
        <v>78</v>
      </c>
      <c r="C14" s="20">
        <v>2023</v>
      </c>
    </row>
    <row r="15" spans="2:3" ht="18" x14ac:dyDescent="0.3">
      <c r="B15" s="18"/>
      <c r="C15" s="20">
        <v>2024</v>
      </c>
    </row>
    <row r="16" spans="2:3" ht="18" x14ac:dyDescent="0.3">
      <c r="B16" s="18"/>
      <c r="C16" s="20">
        <v>2025</v>
      </c>
    </row>
    <row r="17" spans="3:3" ht="18" x14ac:dyDescent="0.3">
      <c r="C17" s="20"/>
    </row>
    <row r="18" spans="3:3" ht="18" x14ac:dyDescent="0.3">
      <c r="C18" s="20"/>
    </row>
    <row r="19" spans="3:3" ht="18" x14ac:dyDescent="0.3">
      <c r="C19" s="20"/>
    </row>
    <row r="20" spans="3:3" ht="18" x14ac:dyDescent="0.3">
      <c r="C20" s="20"/>
    </row>
    <row r="21" spans="3:3" ht="18" x14ac:dyDescent="0.3">
      <c r="C21" s="20"/>
    </row>
    <row r="22" spans="3:3" ht="18" x14ac:dyDescent="0.3">
      <c r="C22" s="20"/>
    </row>
    <row r="23" spans="3:3" ht="18" x14ac:dyDescent="0.3">
      <c r="C23" s="20"/>
    </row>
    <row r="24" spans="3:3" ht="18" x14ac:dyDescent="0.3">
      <c r="C24" s="20"/>
    </row>
    <row r="25" spans="3:3" ht="18" x14ac:dyDescent="0.3">
      <c r="C25" s="20"/>
    </row>
    <row r="26" spans="3:3" ht="18" x14ac:dyDescent="0.3">
      <c r="C26" s="20"/>
    </row>
    <row r="27" spans="3:3" ht="18" x14ac:dyDescent="0.3">
      <c r="C27" s="20"/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F1924-13EF-4A6F-8D4F-A8C3E6F77B52}">
  <sheetPr codeName="Sheet43"/>
  <dimension ref="A1:AL48"/>
  <sheetViews>
    <sheetView zoomScaleNormal="100" workbookViewId="0">
      <selection activeCell="E7" sqref="E7"/>
    </sheetView>
  </sheetViews>
  <sheetFormatPr defaultRowHeight="19.8" x14ac:dyDescent="0.65"/>
  <cols>
    <col min="1" max="1" width="9.88671875" style="17" bestFit="1" customWidth="1"/>
    <col min="2" max="2" width="8.88671875" style="16"/>
    <col min="3" max="3" width="15.5546875" style="16" customWidth="1"/>
    <col min="4" max="4" width="18.5546875" customWidth="1"/>
  </cols>
  <sheetData>
    <row r="1" spans="1:38" s="5" customFormat="1" ht="63" customHeight="1" thickTop="1" thickBot="1" x14ac:dyDescent="0.35">
      <c r="C1" s="5" t="s">
        <v>1</v>
      </c>
      <c r="D1" s="4" t="s">
        <v>2</v>
      </c>
      <c r="E1" s="4" t="s">
        <v>40</v>
      </c>
      <c r="F1" s="4" t="s">
        <v>3</v>
      </c>
      <c r="G1" s="4" t="s">
        <v>41</v>
      </c>
      <c r="H1" s="4" t="s">
        <v>4</v>
      </c>
      <c r="I1" s="4" t="s">
        <v>42</v>
      </c>
      <c r="J1" s="4" t="s">
        <v>43</v>
      </c>
      <c r="K1" s="4" t="s">
        <v>44</v>
      </c>
      <c r="L1" s="4" t="s">
        <v>5</v>
      </c>
      <c r="M1" s="4" t="s">
        <v>6</v>
      </c>
      <c r="N1" s="4" t="s">
        <v>7</v>
      </c>
      <c r="O1" s="12" t="s">
        <v>45</v>
      </c>
      <c r="P1" s="7" t="s">
        <v>46</v>
      </c>
      <c r="Q1" s="7" t="s">
        <v>49</v>
      </c>
      <c r="R1" s="7" t="s">
        <v>48</v>
      </c>
      <c r="S1" s="7" t="s">
        <v>47</v>
      </c>
      <c r="T1" s="7" t="s">
        <v>8</v>
      </c>
      <c r="U1" s="7" t="s">
        <v>9</v>
      </c>
      <c r="V1" s="7" t="s">
        <v>11</v>
      </c>
      <c r="W1" s="7" t="s">
        <v>12</v>
      </c>
      <c r="X1" s="7" t="s">
        <v>13</v>
      </c>
      <c r="Y1" s="7" t="s">
        <v>14</v>
      </c>
      <c r="Z1" s="7" t="s">
        <v>16</v>
      </c>
      <c r="AA1" s="7" t="s">
        <v>17</v>
      </c>
      <c r="AB1" s="7" t="s">
        <v>18</v>
      </c>
      <c r="AC1" s="7" t="s">
        <v>20</v>
      </c>
      <c r="AD1" s="9" t="s">
        <v>50</v>
      </c>
      <c r="AE1" s="9" t="s">
        <v>21</v>
      </c>
      <c r="AF1" s="9" t="s">
        <v>51</v>
      </c>
      <c r="AG1" s="9" t="s">
        <v>52</v>
      </c>
      <c r="AH1" s="5" t="s">
        <v>23</v>
      </c>
      <c r="AI1" s="5" t="s">
        <v>24</v>
      </c>
      <c r="AJ1" s="5" t="s">
        <v>25</v>
      </c>
      <c r="AK1" s="5" t="s">
        <v>26</v>
      </c>
      <c r="AL1" s="5" t="s">
        <v>27</v>
      </c>
    </row>
    <row r="2" spans="1:38" ht="20.399999999999999" thickTop="1" x14ac:dyDescent="0.65">
      <c r="A2" s="17" t="s">
        <v>68</v>
      </c>
      <c r="B2" s="16">
        <v>2020</v>
      </c>
      <c r="C2" s="16" t="str">
        <f>CONCATENATE(A2, " ",B2)</f>
        <v>फेब्रुवारी 2020</v>
      </c>
    </row>
    <row r="3" spans="1:38" x14ac:dyDescent="0.65">
      <c r="A3" s="17" t="s">
        <v>68</v>
      </c>
      <c r="B3" s="16">
        <v>2020</v>
      </c>
      <c r="C3" s="16" t="str">
        <f t="shared" ref="C3:C48" si="0">CONCATENATE(A3, " ",B3)</f>
        <v>फेब्रुवारी 2020</v>
      </c>
      <c r="D3" s="15"/>
    </row>
    <row r="4" spans="1:38" x14ac:dyDescent="0.65">
      <c r="A4" s="17" t="s">
        <v>68</v>
      </c>
      <c r="B4" s="16">
        <v>2020</v>
      </c>
      <c r="C4" s="16" t="str">
        <f t="shared" si="0"/>
        <v>फेब्रुवारी 2020</v>
      </c>
    </row>
    <row r="5" spans="1:38" x14ac:dyDescent="0.65">
      <c r="A5" s="17" t="s">
        <v>68</v>
      </c>
      <c r="B5" s="16">
        <v>2020</v>
      </c>
      <c r="C5" s="16" t="str">
        <f t="shared" si="0"/>
        <v>फेब्रुवारी 2020</v>
      </c>
    </row>
    <row r="6" spans="1:38" x14ac:dyDescent="0.65">
      <c r="A6" s="17" t="s">
        <v>68</v>
      </c>
      <c r="B6" s="16">
        <v>2020</v>
      </c>
      <c r="C6" s="16" t="str">
        <f t="shared" si="0"/>
        <v>फेब्रुवारी 2020</v>
      </c>
    </row>
    <row r="7" spans="1:38" x14ac:dyDescent="0.65">
      <c r="A7" s="17" t="s">
        <v>68</v>
      </c>
      <c r="B7" s="16">
        <v>2020</v>
      </c>
      <c r="C7" s="16" t="str">
        <f t="shared" si="0"/>
        <v>फेब्रुवारी 2020</v>
      </c>
    </row>
    <row r="8" spans="1:38" x14ac:dyDescent="0.65">
      <c r="A8" s="17" t="s">
        <v>68</v>
      </c>
      <c r="B8" s="16">
        <v>2020</v>
      </c>
      <c r="C8" s="16" t="str">
        <f t="shared" si="0"/>
        <v>फेब्रुवारी 2020</v>
      </c>
    </row>
    <row r="9" spans="1:38" x14ac:dyDescent="0.65">
      <c r="A9" s="17" t="s">
        <v>68</v>
      </c>
      <c r="B9" s="16">
        <v>2020</v>
      </c>
      <c r="C9" s="16" t="str">
        <f t="shared" si="0"/>
        <v>फेब्रुवारी 2020</v>
      </c>
    </row>
    <row r="10" spans="1:38" x14ac:dyDescent="0.65">
      <c r="A10" s="17" t="s">
        <v>68</v>
      </c>
      <c r="B10" s="16">
        <v>2020</v>
      </c>
      <c r="C10" s="16" t="str">
        <f t="shared" si="0"/>
        <v>फेब्रुवारी 2020</v>
      </c>
    </row>
    <row r="11" spans="1:38" x14ac:dyDescent="0.65">
      <c r="A11" s="17" t="s">
        <v>68</v>
      </c>
      <c r="B11" s="16">
        <v>2020</v>
      </c>
      <c r="C11" s="16" t="str">
        <f t="shared" si="0"/>
        <v>फेब्रुवारी 2020</v>
      </c>
    </row>
    <row r="12" spans="1:38" x14ac:dyDescent="0.65">
      <c r="A12" s="17" t="s">
        <v>68</v>
      </c>
      <c r="B12" s="16">
        <v>2020</v>
      </c>
      <c r="C12" s="16" t="str">
        <f t="shared" si="0"/>
        <v>फेब्रुवारी 2020</v>
      </c>
    </row>
    <row r="13" spans="1:38" x14ac:dyDescent="0.65">
      <c r="A13" s="17" t="s">
        <v>68</v>
      </c>
      <c r="B13" s="16">
        <v>2020</v>
      </c>
      <c r="C13" s="16" t="str">
        <f t="shared" si="0"/>
        <v>फेब्रुवारी 2020</v>
      </c>
    </row>
    <row r="14" spans="1:38" x14ac:dyDescent="0.65">
      <c r="A14" s="17" t="s">
        <v>68</v>
      </c>
      <c r="B14" s="16">
        <v>2020</v>
      </c>
      <c r="C14" s="16" t="str">
        <f t="shared" si="0"/>
        <v>फेब्रुवारी 2020</v>
      </c>
    </row>
    <row r="15" spans="1:38" x14ac:dyDescent="0.65">
      <c r="A15" s="17" t="s">
        <v>68</v>
      </c>
      <c r="B15" s="16">
        <v>2020</v>
      </c>
      <c r="C15" s="16" t="str">
        <f t="shared" si="0"/>
        <v>फेब्रुवारी 2020</v>
      </c>
    </row>
    <row r="16" spans="1:38" x14ac:dyDescent="0.65">
      <c r="A16" s="17" t="s">
        <v>68</v>
      </c>
      <c r="B16" s="16">
        <v>2020</v>
      </c>
      <c r="C16" s="16" t="str">
        <f t="shared" si="0"/>
        <v>फेब्रुवारी 2020</v>
      </c>
    </row>
    <row r="17" spans="1:3" x14ac:dyDescent="0.65">
      <c r="A17" s="17" t="s">
        <v>68</v>
      </c>
      <c r="B17" s="16">
        <v>2020</v>
      </c>
      <c r="C17" s="16" t="str">
        <f t="shared" si="0"/>
        <v>फेब्रुवारी 2020</v>
      </c>
    </row>
    <row r="18" spans="1:3" x14ac:dyDescent="0.65">
      <c r="A18" s="17" t="s">
        <v>68</v>
      </c>
      <c r="B18" s="16">
        <v>2020</v>
      </c>
      <c r="C18" s="16" t="str">
        <f t="shared" si="0"/>
        <v>फेब्रुवारी 2020</v>
      </c>
    </row>
    <row r="19" spans="1:3" x14ac:dyDescent="0.65">
      <c r="A19" s="17" t="s">
        <v>68</v>
      </c>
      <c r="B19" s="16">
        <v>2020</v>
      </c>
      <c r="C19" s="16" t="str">
        <f t="shared" si="0"/>
        <v>फेब्रुवारी 2020</v>
      </c>
    </row>
    <row r="20" spans="1:3" x14ac:dyDescent="0.65">
      <c r="A20" s="17" t="s">
        <v>68</v>
      </c>
      <c r="B20" s="16">
        <v>2020</v>
      </c>
      <c r="C20" s="16" t="str">
        <f t="shared" si="0"/>
        <v>फेब्रुवारी 2020</v>
      </c>
    </row>
    <row r="21" spans="1:3" x14ac:dyDescent="0.65">
      <c r="A21" s="17" t="s">
        <v>68</v>
      </c>
      <c r="B21" s="16">
        <v>2020</v>
      </c>
      <c r="C21" s="16" t="str">
        <f t="shared" si="0"/>
        <v>फेब्रुवारी 2020</v>
      </c>
    </row>
    <row r="22" spans="1:3" x14ac:dyDescent="0.65">
      <c r="A22" s="17" t="s">
        <v>68</v>
      </c>
      <c r="B22" s="16">
        <v>2020</v>
      </c>
      <c r="C22" s="16" t="str">
        <f t="shared" si="0"/>
        <v>फेब्रुवारी 2020</v>
      </c>
    </row>
    <row r="23" spans="1:3" x14ac:dyDescent="0.65">
      <c r="A23" s="17" t="s">
        <v>68</v>
      </c>
      <c r="B23" s="16">
        <v>2020</v>
      </c>
      <c r="C23" s="16" t="str">
        <f t="shared" si="0"/>
        <v>फेब्रुवारी 2020</v>
      </c>
    </row>
    <row r="24" spans="1:3" x14ac:dyDescent="0.65">
      <c r="A24" s="17" t="s">
        <v>68</v>
      </c>
      <c r="B24" s="16">
        <v>2020</v>
      </c>
      <c r="C24" s="16" t="str">
        <f t="shared" si="0"/>
        <v>फेब्रुवारी 2020</v>
      </c>
    </row>
    <row r="25" spans="1:3" x14ac:dyDescent="0.65">
      <c r="A25" s="17" t="s">
        <v>68</v>
      </c>
      <c r="B25" s="16">
        <v>2020</v>
      </c>
      <c r="C25" s="16" t="str">
        <f t="shared" si="0"/>
        <v>फेब्रुवारी 2020</v>
      </c>
    </row>
    <row r="26" spans="1:3" x14ac:dyDescent="0.65">
      <c r="A26" s="17" t="s">
        <v>68</v>
      </c>
      <c r="B26" s="16">
        <v>2020</v>
      </c>
      <c r="C26" s="16" t="str">
        <f t="shared" si="0"/>
        <v>फेब्रुवारी 2020</v>
      </c>
    </row>
    <row r="27" spans="1:3" x14ac:dyDescent="0.65">
      <c r="A27" s="17" t="s">
        <v>68</v>
      </c>
      <c r="B27" s="16">
        <v>2020</v>
      </c>
      <c r="C27" s="16" t="str">
        <f t="shared" si="0"/>
        <v>फेब्रुवारी 2020</v>
      </c>
    </row>
    <row r="28" spans="1:3" x14ac:dyDescent="0.65">
      <c r="A28" s="17" t="s">
        <v>68</v>
      </c>
      <c r="B28" s="16">
        <v>2020</v>
      </c>
      <c r="C28" s="16" t="str">
        <f t="shared" si="0"/>
        <v>फेब्रुवारी 2020</v>
      </c>
    </row>
    <row r="29" spans="1:3" x14ac:dyDescent="0.65">
      <c r="A29" s="17" t="s">
        <v>68</v>
      </c>
      <c r="B29" s="16">
        <v>2020</v>
      </c>
      <c r="C29" s="16" t="str">
        <f t="shared" si="0"/>
        <v>फेब्रुवारी 2020</v>
      </c>
    </row>
    <row r="30" spans="1:3" x14ac:dyDescent="0.65">
      <c r="A30" s="17" t="s">
        <v>68</v>
      </c>
      <c r="B30" s="16">
        <v>2020</v>
      </c>
      <c r="C30" s="16" t="str">
        <f t="shared" si="0"/>
        <v>फेब्रुवारी 2020</v>
      </c>
    </row>
    <row r="31" spans="1:3" x14ac:dyDescent="0.65">
      <c r="A31" s="17" t="s">
        <v>68</v>
      </c>
      <c r="B31" s="16">
        <v>2020</v>
      </c>
      <c r="C31" s="16" t="str">
        <f t="shared" si="0"/>
        <v>फेब्रुवारी 2020</v>
      </c>
    </row>
    <row r="32" spans="1:3" x14ac:dyDescent="0.65">
      <c r="A32" s="17" t="s">
        <v>68</v>
      </c>
      <c r="B32" s="16">
        <v>2020</v>
      </c>
      <c r="C32" s="16" t="str">
        <f t="shared" si="0"/>
        <v>फेब्रुवारी 2020</v>
      </c>
    </row>
    <row r="33" spans="1:3" x14ac:dyDescent="0.65">
      <c r="A33" s="17" t="s">
        <v>68</v>
      </c>
      <c r="B33" s="16">
        <v>2020</v>
      </c>
      <c r="C33" s="16" t="str">
        <f t="shared" si="0"/>
        <v>फेब्रुवारी 2020</v>
      </c>
    </row>
    <row r="34" spans="1:3" x14ac:dyDescent="0.65">
      <c r="A34" s="17" t="s">
        <v>68</v>
      </c>
      <c r="B34" s="16">
        <v>2020</v>
      </c>
      <c r="C34" s="16" t="str">
        <f t="shared" si="0"/>
        <v>फेब्रुवारी 2020</v>
      </c>
    </row>
    <row r="35" spans="1:3" x14ac:dyDescent="0.65">
      <c r="A35" s="17" t="s">
        <v>68</v>
      </c>
      <c r="B35" s="16">
        <v>2020</v>
      </c>
      <c r="C35" s="16" t="str">
        <f t="shared" si="0"/>
        <v>फेब्रुवारी 2020</v>
      </c>
    </row>
    <row r="36" spans="1:3" x14ac:dyDescent="0.65">
      <c r="A36" s="17" t="s">
        <v>68</v>
      </c>
      <c r="B36" s="16">
        <v>2020</v>
      </c>
      <c r="C36" s="16" t="str">
        <f t="shared" si="0"/>
        <v>फेब्रुवारी 2020</v>
      </c>
    </row>
    <row r="37" spans="1:3" x14ac:dyDescent="0.65">
      <c r="A37" s="17" t="s">
        <v>68</v>
      </c>
      <c r="B37" s="16">
        <v>2020</v>
      </c>
      <c r="C37" s="16" t="str">
        <f t="shared" si="0"/>
        <v>फेब्रुवारी 2020</v>
      </c>
    </row>
    <row r="38" spans="1:3" x14ac:dyDescent="0.65">
      <c r="A38" s="17" t="s">
        <v>68</v>
      </c>
      <c r="B38" s="16">
        <v>2020</v>
      </c>
      <c r="C38" s="16" t="str">
        <f t="shared" si="0"/>
        <v>फेब्रुवारी 2020</v>
      </c>
    </row>
    <row r="39" spans="1:3" x14ac:dyDescent="0.65">
      <c r="A39" s="17" t="s">
        <v>68</v>
      </c>
      <c r="B39" s="16">
        <v>2020</v>
      </c>
      <c r="C39" s="16" t="str">
        <f t="shared" si="0"/>
        <v>फेब्रुवारी 2020</v>
      </c>
    </row>
    <row r="40" spans="1:3" x14ac:dyDescent="0.65">
      <c r="A40" s="17" t="s">
        <v>68</v>
      </c>
      <c r="B40" s="16">
        <v>2020</v>
      </c>
      <c r="C40" s="16" t="str">
        <f t="shared" si="0"/>
        <v>फेब्रुवारी 2020</v>
      </c>
    </row>
    <row r="41" spans="1:3" x14ac:dyDescent="0.65">
      <c r="A41" s="17" t="s">
        <v>68</v>
      </c>
      <c r="B41" s="16">
        <v>2020</v>
      </c>
      <c r="C41" s="16" t="str">
        <f t="shared" si="0"/>
        <v>फेब्रुवारी 2020</v>
      </c>
    </row>
    <row r="42" spans="1:3" x14ac:dyDescent="0.65">
      <c r="A42" s="17" t="s">
        <v>68</v>
      </c>
      <c r="B42" s="16">
        <v>2020</v>
      </c>
      <c r="C42" s="16" t="str">
        <f t="shared" si="0"/>
        <v>फेब्रुवारी 2020</v>
      </c>
    </row>
    <row r="43" spans="1:3" x14ac:dyDescent="0.65">
      <c r="A43" s="17" t="s">
        <v>68</v>
      </c>
      <c r="B43" s="16">
        <v>2020</v>
      </c>
      <c r="C43" s="16" t="str">
        <f t="shared" si="0"/>
        <v>फेब्रुवारी 2020</v>
      </c>
    </row>
    <row r="44" spans="1:3" x14ac:dyDescent="0.65">
      <c r="A44" s="17" t="s">
        <v>68</v>
      </c>
      <c r="B44" s="16">
        <v>2020</v>
      </c>
      <c r="C44" s="16" t="str">
        <f t="shared" si="0"/>
        <v>फेब्रुवारी 2020</v>
      </c>
    </row>
    <row r="45" spans="1:3" x14ac:dyDescent="0.65">
      <c r="A45" s="17" t="s">
        <v>68</v>
      </c>
      <c r="B45" s="16">
        <v>2020</v>
      </c>
      <c r="C45" s="16" t="str">
        <f t="shared" si="0"/>
        <v>फेब्रुवारी 2020</v>
      </c>
    </row>
    <row r="46" spans="1:3" x14ac:dyDescent="0.65">
      <c r="A46" s="17" t="s">
        <v>68</v>
      </c>
      <c r="B46" s="16">
        <v>2020</v>
      </c>
      <c r="C46" s="16" t="str">
        <f t="shared" si="0"/>
        <v>फेब्रुवारी 2020</v>
      </c>
    </row>
    <row r="47" spans="1:3" x14ac:dyDescent="0.65">
      <c r="A47" s="17" t="s">
        <v>68</v>
      </c>
      <c r="B47" s="16">
        <v>2020</v>
      </c>
      <c r="C47" s="16" t="str">
        <f t="shared" si="0"/>
        <v>फेब्रुवारी 2020</v>
      </c>
    </row>
    <row r="48" spans="1:3" x14ac:dyDescent="0.65">
      <c r="A48" s="17" t="s">
        <v>68</v>
      </c>
      <c r="B48" s="16">
        <v>2020</v>
      </c>
      <c r="C48" s="16" t="str">
        <f t="shared" si="0"/>
        <v>फेब्रुवारी 2020</v>
      </c>
    </row>
  </sheetData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E162C4A-9CFC-4DE8-BF38-113D26951D4F}">
          <x14:formula1>
            <xm:f>#REF!</xm:f>
          </x14:formula1>
          <xm:sqref>A1:A1048576</xm:sqref>
        </x14:dataValidation>
        <x14:dataValidation type="list" allowBlank="1" showInputMessage="1" showErrorMessage="1" xr:uid="{66AB3CFE-D699-419F-AC16-4A2FCC542483}">
          <x14:formula1>
            <xm:f>#REF!</xm:f>
          </x14:formula1>
          <xm:sqref>B1:B1048576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Y22"/>
  <sheetViews>
    <sheetView tabSelected="1" zoomScaleNormal="100" workbookViewId="0">
      <selection activeCell="H5" sqref="H5"/>
    </sheetView>
  </sheetViews>
  <sheetFormatPr defaultColWidth="18.6640625" defaultRowHeight="24.75" customHeight="1" x14ac:dyDescent="0.7"/>
  <cols>
    <col min="1" max="1" width="17.5546875" style="1" customWidth="1"/>
    <col min="2" max="2" width="8.88671875" style="1" hidden="1" customWidth="1"/>
    <col min="3" max="3" width="16.88671875" style="1" customWidth="1"/>
    <col min="4" max="4" width="16" style="1" hidden="1" customWidth="1"/>
    <col min="5" max="5" width="17.109375" style="1" customWidth="1"/>
    <col min="6" max="6" width="0.33203125" style="1" customWidth="1"/>
    <col min="7" max="7" width="14" style="1" customWidth="1"/>
    <col min="8" max="8" width="12" style="1" customWidth="1"/>
    <col min="9" max="9" width="14.10937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6" style="10" customWidth="1"/>
    <col min="14" max="14" width="18.6640625" style="1"/>
    <col min="15" max="15" width="12.33203125" style="1" customWidth="1"/>
    <col min="16" max="16" width="18.6640625" style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1.109375" style="1" customWidth="1"/>
    <col min="25" max="25" width="17.44140625" style="1" hidden="1" customWidth="1"/>
    <col min="26" max="26" width="12.441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1.5" customHeight="1" x14ac:dyDescent="0.3">
      <c r="M6" s="10"/>
    </row>
    <row r="7" spans="1:51" s="11" customFormat="1" ht="24.75" hidden="1" customHeight="1" x14ac:dyDescent="0.3">
      <c r="M7" s="10"/>
    </row>
    <row r="8" spans="1:51" ht="24.75" customHeight="1" thickBot="1" x14ac:dyDescent="0.75">
      <c r="A8" s="11" t="s">
        <v>0</v>
      </c>
      <c r="E8" s="14" t="s">
        <v>53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>
        <f>UserFormSheet!E2</f>
        <v>0</v>
      </c>
      <c r="D10" s="3"/>
      <c r="E10" s="3"/>
      <c r="F10" s="3"/>
      <c r="G10" s="1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40400</v>
      </c>
      <c r="D11" s="3"/>
      <c r="E11" s="3">
        <v>6868</v>
      </c>
      <c r="F11" s="3"/>
      <c r="G11" s="3">
        <v>0</v>
      </c>
      <c r="H11" s="3">
        <v>400</v>
      </c>
      <c r="I11" s="3">
        <v>300</v>
      </c>
      <c r="J11" s="3"/>
      <c r="K11" s="3"/>
      <c r="L11" s="3"/>
      <c r="M11" s="10">
        <v>47968</v>
      </c>
      <c r="N11" s="6">
        <v>9500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/>
      <c r="Y11" s="6"/>
      <c r="Z11" s="6"/>
      <c r="AA11" s="6"/>
      <c r="AB11" s="8">
        <v>200</v>
      </c>
      <c r="AC11" s="8"/>
      <c r="AD11" s="8">
        <v>10552</v>
      </c>
      <c r="AE11" s="8">
        <v>37416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79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80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Y22"/>
  <sheetViews>
    <sheetView topLeftCell="A6" zoomScale="115" zoomScaleNormal="115" workbookViewId="0">
      <selection activeCell="A21" sqref="A10:A2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C8" s="1" t="s">
        <v>54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40400</v>
      </c>
      <c r="D11" s="3"/>
      <c r="E11" s="3">
        <v>6868</v>
      </c>
      <c r="F11" s="3"/>
      <c r="G11" s="3">
        <v>9696</v>
      </c>
      <c r="H11" s="3">
        <v>400</v>
      </c>
      <c r="I11" s="3">
        <v>300</v>
      </c>
      <c r="J11" s="3"/>
      <c r="K11" s="3"/>
      <c r="L11" s="3"/>
      <c r="M11" s="10">
        <v>56414</v>
      </c>
      <c r="N11" s="6">
        <v>8000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 t="s">
        <v>56</v>
      </c>
      <c r="Y11" s="6"/>
      <c r="Z11" s="6"/>
      <c r="AA11" s="6"/>
      <c r="AB11" s="8">
        <v>200</v>
      </c>
      <c r="AC11" s="8"/>
      <c r="AD11" s="8">
        <v>8560</v>
      </c>
      <c r="AE11" s="8">
        <v>47854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39200</v>
      </c>
      <c r="D11" s="3"/>
      <c r="E11" s="3">
        <v>6664</v>
      </c>
      <c r="F11" s="3"/>
      <c r="G11" s="3">
        <v>9408</v>
      </c>
      <c r="H11" s="3">
        <v>400</v>
      </c>
      <c r="I11" s="3">
        <v>300</v>
      </c>
      <c r="J11" s="3"/>
      <c r="K11" s="3"/>
      <c r="L11" s="3"/>
      <c r="M11" s="10">
        <v>55972</v>
      </c>
      <c r="N11" s="6">
        <v>9000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/>
      <c r="Y11" s="6"/>
      <c r="Z11" s="6"/>
      <c r="AA11" s="6"/>
      <c r="AB11" s="8">
        <v>200</v>
      </c>
      <c r="AC11" s="8"/>
      <c r="AD11" s="8">
        <v>9560</v>
      </c>
      <c r="AE11" s="8">
        <v>46412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AY22"/>
  <sheetViews>
    <sheetView workbookViewId="0">
      <selection activeCell="P11" sqref="P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10.88671875" style="1" customWidth="1"/>
    <col min="16" max="16" width="18.6640625" style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40400</v>
      </c>
      <c r="D11" s="3"/>
      <c r="E11" s="3">
        <v>6868</v>
      </c>
      <c r="F11" s="3"/>
      <c r="G11" s="3">
        <v>0</v>
      </c>
      <c r="H11" s="3">
        <v>400</v>
      </c>
      <c r="I11" s="3">
        <v>300</v>
      </c>
      <c r="J11" s="3"/>
      <c r="K11" s="3"/>
      <c r="L11" s="3"/>
      <c r="M11" s="10">
        <v>46718</v>
      </c>
      <c r="N11" s="6">
        <v>7000</v>
      </c>
      <c r="O11" s="6"/>
      <c r="P11" s="6" t="s">
        <v>55</v>
      </c>
      <c r="Q11" s="6">
        <v>360</v>
      </c>
      <c r="R11" s="6"/>
      <c r="S11" s="6"/>
      <c r="T11" s="6"/>
      <c r="U11" s="6"/>
      <c r="V11" s="6"/>
      <c r="W11" s="6"/>
      <c r="X11" s="6" t="s">
        <v>56</v>
      </c>
      <c r="Y11" s="6"/>
      <c r="Z11" s="6"/>
      <c r="AA11" s="6"/>
      <c r="AB11" s="8">
        <v>200</v>
      </c>
      <c r="AC11" s="8"/>
      <c r="AD11" s="8">
        <v>8052</v>
      </c>
      <c r="AE11" s="8">
        <v>38666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AY22"/>
  <sheetViews>
    <sheetView topLeftCell="G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1.109375" style="1" customWidth="1"/>
    <col min="15" max="15" width="11.44140625" style="1" customWidth="1"/>
    <col min="16" max="16" width="9.6640625" style="1" customWidth="1"/>
    <col min="17" max="17" width="10.33203125" style="1" customWidth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C8" s="1" t="s">
        <v>57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58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38100</v>
      </c>
      <c r="D11" s="3"/>
      <c r="E11" s="3">
        <v>6477</v>
      </c>
      <c r="F11" s="3"/>
      <c r="G11" s="3">
        <v>0</v>
      </c>
      <c r="H11" s="3">
        <v>400</v>
      </c>
      <c r="I11" s="3">
        <v>300</v>
      </c>
      <c r="J11" s="3"/>
      <c r="K11" s="3"/>
      <c r="L11" s="3"/>
      <c r="M11" s="10">
        <v>44027</v>
      </c>
      <c r="N11" s="6">
        <v>7500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 t="s">
        <v>56</v>
      </c>
      <c r="Y11" s="6"/>
      <c r="Z11" s="6" t="s">
        <v>59</v>
      </c>
      <c r="AA11" s="6"/>
      <c r="AB11" s="8">
        <v>200</v>
      </c>
      <c r="AC11" s="8"/>
      <c r="AD11" s="8">
        <v>8696</v>
      </c>
      <c r="AE11" s="8">
        <v>35331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AY22"/>
  <sheetViews>
    <sheetView topLeftCell="E1" workbookViewId="0">
      <selection activeCell="Z12" sqref="Z12:Z13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C8" s="1" t="s">
        <v>60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30600</v>
      </c>
      <c r="D11" s="3"/>
      <c r="E11" s="3">
        <v>5202</v>
      </c>
      <c r="F11" s="3"/>
      <c r="G11" s="3">
        <v>0</v>
      </c>
      <c r="H11" s="3">
        <v>400</v>
      </c>
      <c r="I11" s="3">
        <v>300</v>
      </c>
      <c r="J11" s="3"/>
      <c r="K11" s="3">
        <v>50</v>
      </c>
      <c r="L11" s="3"/>
      <c r="M11" s="10">
        <v>35302</v>
      </c>
      <c r="N11" s="6">
        <v>10000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 t="s">
        <v>56</v>
      </c>
      <c r="Y11" s="6"/>
      <c r="Z11" s="6" t="s">
        <v>64</v>
      </c>
      <c r="AA11" s="6"/>
      <c r="AB11" s="8">
        <v>200</v>
      </c>
      <c r="AC11" s="8"/>
      <c r="AD11" s="8">
        <v>11640</v>
      </c>
      <c r="AE11" s="8">
        <v>23662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AY22"/>
  <sheetViews>
    <sheetView workbookViewId="0">
      <selection activeCell="E7" sqref="E7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24600</v>
      </c>
      <c r="D11" s="3"/>
      <c r="E11" s="3">
        <v>4182</v>
      </c>
      <c r="F11" s="3"/>
      <c r="G11" s="3">
        <v>5904</v>
      </c>
      <c r="H11" s="3">
        <v>400</v>
      </c>
      <c r="I11" s="3">
        <v>200</v>
      </c>
      <c r="J11" s="3"/>
      <c r="K11" s="3"/>
      <c r="L11" s="3"/>
      <c r="M11" s="10">
        <v>34036</v>
      </c>
      <c r="N11" s="6">
        <v>2500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 t="s">
        <v>56</v>
      </c>
      <c r="Y11" s="6"/>
      <c r="Z11" s="6"/>
      <c r="AA11" s="6"/>
      <c r="AB11" s="8">
        <v>200</v>
      </c>
      <c r="AC11" s="8"/>
      <c r="AD11" s="8">
        <v>2940</v>
      </c>
      <c r="AE11" s="8">
        <v>31096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29000</v>
      </c>
      <c r="D11" s="3"/>
      <c r="E11" s="3">
        <v>4930</v>
      </c>
      <c r="F11" s="3"/>
      <c r="G11" s="3">
        <v>6960</v>
      </c>
      <c r="H11" s="3">
        <v>400</v>
      </c>
      <c r="I11" s="3">
        <v>300</v>
      </c>
      <c r="J11" s="3"/>
      <c r="K11" s="3"/>
      <c r="L11" s="3"/>
      <c r="M11" s="10">
        <v>41590</v>
      </c>
      <c r="N11" s="6">
        <v>3000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/>
      <c r="Y11" s="6"/>
      <c r="Z11" s="6"/>
      <c r="AA11" s="6"/>
      <c r="AB11" s="8">
        <v>200</v>
      </c>
      <c r="AC11" s="8"/>
      <c r="AD11" s="8">
        <v>3440</v>
      </c>
      <c r="AE11" s="8">
        <v>38150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AY22"/>
  <sheetViews>
    <sheetView topLeftCell="A7" workbookViewId="0">
      <selection activeCell="N5" sqref="N5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  <c r="N5" s="11">
        <v>2</v>
      </c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AY22"/>
  <sheetViews>
    <sheetView workbookViewId="0">
      <selection activeCell="K18" sqref="K18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9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0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3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8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9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0"/>
  <dimension ref="A1:AY22"/>
  <sheetViews>
    <sheetView topLeftCell="I4" workbookViewId="0">
      <selection activeCell="AD12" sqref="AD12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10.109375" style="1" customWidth="1"/>
    <col min="16" max="16" width="18.6640625" style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34300</v>
      </c>
      <c r="D11" s="3"/>
      <c r="E11" s="3">
        <v>5831</v>
      </c>
      <c r="F11" s="3"/>
      <c r="G11" s="3">
        <v>0</v>
      </c>
      <c r="H11" s="3">
        <v>400</v>
      </c>
      <c r="I11" s="3">
        <v>300</v>
      </c>
      <c r="J11" s="3"/>
      <c r="K11" s="3"/>
      <c r="L11" s="3"/>
      <c r="M11" s="10">
        <v>39581</v>
      </c>
      <c r="N11" s="6">
        <v>4000</v>
      </c>
      <c r="O11" s="6"/>
      <c r="P11" s="6" t="s">
        <v>61</v>
      </c>
      <c r="Q11" s="6">
        <v>360</v>
      </c>
      <c r="R11" s="6"/>
      <c r="S11" s="6"/>
      <c r="T11" s="6"/>
      <c r="U11" s="6"/>
      <c r="V11" s="6"/>
      <c r="W11" s="6"/>
      <c r="X11" s="6" t="s">
        <v>56</v>
      </c>
      <c r="Y11" s="6"/>
      <c r="Z11" s="6"/>
      <c r="AA11" s="6"/>
      <c r="AB11" s="8">
        <v>200</v>
      </c>
      <c r="AC11" s="8"/>
      <c r="AD11" s="8">
        <v>4742</v>
      </c>
      <c r="AE11" s="8">
        <v>34839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1"/>
  <dimension ref="A1:AY22"/>
  <sheetViews>
    <sheetView workbookViewId="0">
      <selection sqref="A1:XFD1048576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2"/>
  <dimension ref="A1:AY22"/>
  <sheetViews>
    <sheetView workbookViewId="0">
      <selection sqref="A1:XFD1048576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3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4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5"/>
  <dimension ref="A1:AY22"/>
  <sheetViews>
    <sheetView workbookViewId="0">
      <selection activeCell="A9" sqref="A9:XFD9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6"/>
  <dimension ref="A1:AY22"/>
  <sheetViews>
    <sheetView workbookViewId="0">
      <selection sqref="A1:XFD1048576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7"/>
  <dimension ref="A1:AY22"/>
  <sheetViews>
    <sheetView workbookViewId="0">
      <selection activeCell="C12" sqref="C12"/>
    </sheetView>
  </sheetViews>
  <sheetFormatPr defaultColWidth="18.6640625" defaultRowHeight="21.6" x14ac:dyDescent="0.7"/>
  <cols>
    <col min="1" max="1" width="21.88671875" style="1" customWidth="1"/>
    <col min="2" max="2" width="10.6640625" style="1" customWidth="1"/>
    <col min="3" max="3" width="15" style="1" customWidth="1"/>
    <col min="4" max="4" width="11.5546875" style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0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8"/>
      <c r="AC11" s="8"/>
      <c r="AD11" s="8"/>
      <c r="AE11" s="8"/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8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62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33000</v>
      </c>
      <c r="D11" s="3"/>
      <c r="E11" s="3">
        <v>5610</v>
      </c>
      <c r="F11" s="3"/>
      <c r="G11" s="3">
        <v>7920</v>
      </c>
      <c r="H11" s="3">
        <v>400</v>
      </c>
      <c r="I11" s="3">
        <v>300</v>
      </c>
      <c r="J11" s="3"/>
      <c r="K11" s="3">
        <v>50</v>
      </c>
      <c r="L11" s="3"/>
      <c r="M11" s="10">
        <v>46030</v>
      </c>
      <c r="N11" s="6">
        <v>5000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 t="s">
        <v>56</v>
      </c>
      <c r="Y11" s="6"/>
      <c r="Z11" s="6"/>
      <c r="AA11" s="6"/>
      <c r="AB11" s="8">
        <v>200</v>
      </c>
      <c r="AC11" s="8"/>
      <c r="AD11" s="8">
        <v>5440</v>
      </c>
      <c r="AE11" s="8">
        <v>40590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9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30600</v>
      </c>
      <c r="D11" s="3"/>
      <c r="E11" s="3">
        <v>5202</v>
      </c>
      <c r="F11" s="3"/>
      <c r="G11" s="3">
        <v>7344</v>
      </c>
      <c r="H11" s="3">
        <v>400</v>
      </c>
      <c r="I11" s="3">
        <v>300</v>
      </c>
      <c r="J11" s="3"/>
      <c r="K11" s="3"/>
      <c r="L11" s="3"/>
      <c r="M11" s="10">
        <v>42596</v>
      </c>
      <c r="N11" s="6">
        <v>2000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 t="s">
        <v>56</v>
      </c>
      <c r="Y11" s="6"/>
      <c r="Z11" s="6" t="s">
        <v>63</v>
      </c>
      <c r="AA11" s="6"/>
      <c r="AB11" s="8">
        <v>200</v>
      </c>
      <c r="AC11" s="8"/>
      <c r="AD11" s="8">
        <v>3265</v>
      </c>
      <c r="AE11" s="8">
        <v>39321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0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32000</v>
      </c>
      <c r="D11" s="3"/>
      <c r="E11" s="3">
        <v>5440</v>
      </c>
      <c r="F11" s="3"/>
      <c r="G11" s="3">
        <v>7680</v>
      </c>
      <c r="H11" s="3">
        <v>400</v>
      </c>
      <c r="I11" s="3">
        <v>300</v>
      </c>
      <c r="J11" s="3"/>
      <c r="K11" s="3"/>
      <c r="L11" s="3"/>
      <c r="M11" s="10">
        <v>44570</v>
      </c>
      <c r="N11" s="6">
        <v>3000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 t="s">
        <v>56</v>
      </c>
      <c r="Y11" s="6"/>
      <c r="Z11" s="6"/>
      <c r="AA11" s="6"/>
      <c r="AB11" s="8">
        <v>200</v>
      </c>
      <c r="AC11" s="8"/>
      <c r="AD11" s="8">
        <v>3560</v>
      </c>
      <c r="AE11" s="8">
        <v>41010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41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32000</v>
      </c>
      <c r="D11" s="3"/>
      <c r="E11" s="3">
        <v>5440</v>
      </c>
      <c r="F11" s="3"/>
      <c r="G11" s="3">
        <v>7680</v>
      </c>
      <c r="H11" s="3">
        <v>400</v>
      </c>
      <c r="I11" s="3">
        <v>300</v>
      </c>
      <c r="J11" s="3"/>
      <c r="K11" s="3"/>
      <c r="L11" s="3"/>
      <c r="M11" s="10">
        <v>44570</v>
      </c>
      <c r="N11" s="6">
        <v>5000</v>
      </c>
      <c r="O11" s="6"/>
      <c r="P11" s="6"/>
      <c r="Q11" s="6">
        <v>360</v>
      </c>
      <c r="R11" s="6"/>
      <c r="S11" s="6"/>
      <c r="T11" s="6"/>
      <c r="U11" s="6"/>
      <c r="V11" s="6"/>
      <c r="W11" s="6"/>
      <c r="X11" s="6" t="s">
        <v>56</v>
      </c>
      <c r="Y11" s="6"/>
      <c r="Z11" s="6"/>
      <c r="AA11" s="6"/>
      <c r="AB11" s="8">
        <v>200</v>
      </c>
      <c r="AC11" s="8"/>
      <c r="AD11" s="8">
        <v>5560</v>
      </c>
      <c r="AE11" s="8">
        <v>39010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42"/>
  <dimension ref="A1:AY22"/>
  <sheetViews>
    <sheetView topLeftCell="E1" workbookViewId="0">
      <selection activeCell="AE11" sqref="AE11"/>
    </sheetView>
  </sheetViews>
  <sheetFormatPr defaultColWidth="18.6640625" defaultRowHeight="21.6" x14ac:dyDescent="0.7"/>
  <cols>
    <col min="1" max="1" width="21.88671875" style="1" customWidth="1"/>
    <col min="2" max="2" width="10.6640625" style="1" hidden="1" customWidth="1"/>
    <col min="3" max="3" width="15" style="1" customWidth="1"/>
    <col min="4" max="4" width="11.5546875" style="1" hidden="1" customWidth="1"/>
    <col min="5" max="5" width="14.109375" style="1" customWidth="1"/>
    <col min="6" max="6" width="21.6640625" style="1" hidden="1" customWidth="1"/>
    <col min="7" max="7" width="11.44140625" style="1" customWidth="1"/>
    <col min="8" max="8" width="13.5546875" style="1" customWidth="1"/>
    <col min="9" max="9" width="15.6640625" style="1" customWidth="1"/>
    <col min="10" max="10" width="28.33203125" style="1" hidden="1" customWidth="1"/>
    <col min="11" max="11" width="10.33203125" style="1" customWidth="1"/>
    <col min="12" max="12" width="0.44140625" style="1" hidden="1" customWidth="1"/>
    <col min="13" max="13" width="17.44140625" style="10" customWidth="1"/>
    <col min="14" max="14" width="18.6640625" style="1"/>
    <col min="15" max="15" width="5.44140625" style="1" hidden="1" customWidth="1"/>
    <col min="16" max="16" width="18.6640625" style="1" hidden="1" customWidth="1"/>
    <col min="17" max="17" width="18.6640625" style="1"/>
    <col min="18" max="18" width="13" style="1" customWidth="1"/>
    <col min="19" max="19" width="18.5546875" style="1" hidden="1" customWidth="1"/>
    <col min="20" max="20" width="14.6640625" style="1" hidden="1" customWidth="1"/>
    <col min="21" max="21" width="5" style="1" hidden="1" customWidth="1"/>
    <col min="22" max="22" width="3" style="1" hidden="1" customWidth="1"/>
    <col min="23" max="23" width="2.88671875" style="1" hidden="1" customWidth="1"/>
    <col min="24" max="24" width="18.6640625" style="1"/>
    <col min="25" max="25" width="17.44140625" style="1" hidden="1" customWidth="1"/>
    <col min="26" max="26" width="13.6640625" style="1" customWidth="1"/>
    <col min="27" max="27" width="11.109375" style="1" hidden="1" customWidth="1"/>
    <col min="28" max="28" width="16" style="1" customWidth="1"/>
    <col min="29" max="29" width="0" style="1" hidden="1" customWidth="1"/>
    <col min="30" max="30" width="18.6640625" style="1"/>
    <col min="31" max="31" width="20.88671875" style="1" customWidth="1"/>
    <col min="32" max="36" width="0" style="1" hidden="1" customWidth="1"/>
    <col min="37" max="16384" width="18.6640625" style="1"/>
  </cols>
  <sheetData>
    <row r="1" spans="1:51" s="11" customFormat="1" ht="24.75" customHeight="1" x14ac:dyDescent="0.3">
      <c r="B1" s="11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0">
        <v>12</v>
      </c>
      <c r="N1" s="11">
        <v>13</v>
      </c>
      <c r="O1" s="11">
        <v>14</v>
      </c>
      <c r="P1" s="11">
        <v>15</v>
      </c>
      <c r="Q1" s="11">
        <v>16</v>
      </c>
      <c r="R1" s="11">
        <v>17</v>
      </c>
      <c r="S1" s="11">
        <v>18</v>
      </c>
      <c r="T1" s="11">
        <v>19</v>
      </c>
      <c r="U1" s="11">
        <v>20</v>
      </c>
      <c r="V1" s="11">
        <v>21</v>
      </c>
      <c r="W1" s="11">
        <v>22</v>
      </c>
      <c r="X1" s="11">
        <v>23</v>
      </c>
      <c r="Y1" s="11">
        <v>24</v>
      </c>
      <c r="Z1" s="11">
        <v>25</v>
      </c>
      <c r="AA1" s="11">
        <v>26</v>
      </c>
      <c r="AB1" s="11">
        <v>27</v>
      </c>
      <c r="AC1" s="11">
        <v>28</v>
      </c>
      <c r="AD1" s="11">
        <v>29</v>
      </c>
      <c r="AE1" s="11">
        <v>30</v>
      </c>
      <c r="AF1" s="11">
        <v>31</v>
      </c>
      <c r="AG1" s="11">
        <v>32</v>
      </c>
      <c r="AH1" s="11">
        <v>33</v>
      </c>
      <c r="AI1" s="11">
        <v>34</v>
      </c>
      <c r="AJ1" s="11">
        <v>35</v>
      </c>
      <c r="AK1" s="11">
        <v>36</v>
      </c>
      <c r="AL1" s="11">
        <v>37</v>
      </c>
      <c r="AM1" s="11">
        <v>38</v>
      </c>
      <c r="AN1" s="11">
        <v>39</v>
      </c>
      <c r="AO1" s="11">
        <v>40</v>
      </c>
      <c r="AP1" s="11">
        <v>41</v>
      </c>
      <c r="AQ1" s="11">
        <v>42</v>
      </c>
      <c r="AR1" s="11">
        <v>43</v>
      </c>
      <c r="AS1" s="11">
        <v>44</v>
      </c>
      <c r="AT1" s="11">
        <v>45</v>
      </c>
      <c r="AU1" s="11">
        <v>46</v>
      </c>
      <c r="AV1" s="11">
        <v>47</v>
      </c>
      <c r="AW1" s="11">
        <v>48</v>
      </c>
      <c r="AX1" s="11">
        <v>49</v>
      </c>
      <c r="AY1" s="11">
        <v>50</v>
      </c>
    </row>
    <row r="2" spans="1:51" s="11" customFormat="1" ht="24.75" customHeight="1" x14ac:dyDescent="0.3">
      <c r="M2" s="10"/>
    </row>
    <row r="3" spans="1:51" s="11" customFormat="1" ht="24.75" customHeight="1" x14ac:dyDescent="0.3">
      <c r="M3" s="10"/>
    </row>
    <row r="4" spans="1:51" s="11" customFormat="1" ht="24.75" customHeight="1" x14ac:dyDescent="0.3">
      <c r="M4" s="10"/>
    </row>
    <row r="5" spans="1:51" s="11" customFormat="1" ht="24.75" customHeight="1" x14ac:dyDescent="0.3">
      <c r="M5" s="10"/>
    </row>
    <row r="6" spans="1:51" s="11" customFormat="1" ht="24.75" customHeight="1" x14ac:dyDescent="0.3">
      <c r="M6" s="10"/>
    </row>
    <row r="7" spans="1:51" s="11" customFormat="1" ht="24.75" customHeight="1" x14ac:dyDescent="0.3">
      <c r="M7" s="10"/>
    </row>
    <row r="8" spans="1:51" ht="24.75" customHeight="1" thickBot="1" x14ac:dyDescent="0.75">
      <c r="A8" s="11" t="s">
        <v>0</v>
      </c>
      <c r="T8" s="1" t="s">
        <v>10</v>
      </c>
      <c r="X8" s="1" t="s">
        <v>15</v>
      </c>
      <c r="Z8" s="1" t="s">
        <v>19</v>
      </c>
      <c r="AF8" s="1" t="s">
        <v>22</v>
      </c>
    </row>
    <row r="9" spans="1:51" s="5" customFormat="1" ht="63" customHeight="1" thickTop="1" thickBot="1" x14ac:dyDescent="0.35">
      <c r="A9" s="5" t="s">
        <v>1</v>
      </c>
      <c r="B9" s="4" t="s">
        <v>2</v>
      </c>
      <c r="C9" s="4" t="s">
        <v>40</v>
      </c>
      <c r="D9" s="4" t="s">
        <v>3</v>
      </c>
      <c r="E9" s="4" t="s">
        <v>41</v>
      </c>
      <c r="F9" s="4" t="s">
        <v>4</v>
      </c>
      <c r="G9" s="4" t="s">
        <v>42</v>
      </c>
      <c r="H9" s="4" t="s">
        <v>43</v>
      </c>
      <c r="I9" s="4" t="s">
        <v>44</v>
      </c>
      <c r="J9" s="4" t="s">
        <v>5</v>
      </c>
      <c r="K9" s="4" t="s">
        <v>6</v>
      </c>
      <c r="L9" s="4" t="s">
        <v>7</v>
      </c>
      <c r="M9" s="12" t="s">
        <v>45</v>
      </c>
      <c r="N9" s="7" t="s">
        <v>46</v>
      </c>
      <c r="O9" s="7" t="s">
        <v>49</v>
      </c>
      <c r="P9" s="7" t="s">
        <v>48</v>
      </c>
      <c r="Q9" s="7" t="s">
        <v>47</v>
      </c>
      <c r="R9" s="7" t="s">
        <v>8</v>
      </c>
      <c r="S9" s="7" t="s">
        <v>9</v>
      </c>
      <c r="T9" s="7" t="s">
        <v>11</v>
      </c>
      <c r="U9" s="7" t="s">
        <v>12</v>
      </c>
      <c r="V9" s="7" t="s">
        <v>13</v>
      </c>
      <c r="W9" s="7" t="s">
        <v>14</v>
      </c>
      <c r="X9" s="7" t="s">
        <v>16</v>
      </c>
      <c r="Y9" s="7" t="s">
        <v>17</v>
      </c>
      <c r="Z9" s="7" t="s">
        <v>18</v>
      </c>
      <c r="AA9" s="7" t="s">
        <v>20</v>
      </c>
      <c r="AB9" s="9" t="s">
        <v>50</v>
      </c>
      <c r="AC9" s="9" t="s">
        <v>21</v>
      </c>
      <c r="AD9" s="9" t="s">
        <v>51</v>
      </c>
      <c r="AE9" s="9" t="s">
        <v>52</v>
      </c>
      <c r="AF9" s="5" t="s">
        <v>23</v>
      </c>
      <c r="AG9" s="5" t="s">
        <v>24</v>
      </c>
      <c r="AH9" s="5" t="s">
        <v>25</v>
      </c>
      <c r="AI9" s="5" t="s">
        <v>26</v>
      </c>
      <c r="AJ9" s="5" t="s">
        <v>27</v>
      </c>
    </row>
    <row r="10" spans="1:51" s="2" customFormat="1" ht="24.75" customHeight="1" thickTop="1" thickBot="1" x14ac:dyDescent="0.35">
      <c r="A10" s="2" t="s">
        <v>28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8"/>
      <c r="AC10" s="8"/>
      <c r="AD10" s="8"/>
      <c r="AE10" s="8"/>
    </row>
    <row r="11" spans="1:51" s="2" customFormat="1" ht="24.75" customHeight="1" thickTop="1" thickBot="1" x14ac:dyDescent="0.35">
      <c r="A11" s="2" t="s">
        <v>29</v>
      </c>
      <c r="B11" s="3"/>
      <c r="C11" s="3">
        <v>30600</v>
      </c>
      <c r="D11" s="3"/>
      <c r="E11" s="3">
        <v>5202</v>
      </c>
      <c r="F11" s="3"/>
      <c r="G11" s="3">
        <v>0</v>
      </c>
      <c r="H11" s="3">
        <v>400</v>
      </c>
      <c r="I11" s="3">
        <v>300</v>
      </c>
      <c r="J11" s="3"/>
      <c r="K11" s="3"/>
      <c r="L11" s="3"/>
      <c r="M11" s="10">
        <v>35252</v>
      </c>
      <c r="N11" s="6">
        <v>3000</v>
      </c>
      <c r="O11" s="6"/>
      <c r="P11" s="6"/>
      <c r="Q11" s="6">
        <v>240</v>
      </c>
      <c r="R11" s="6"/>
      <c r="S11" s="6"/>
      <c r="T11" s="6"/>
      <c r="U11" s="6"/>
      <c r="V11" s="6"/>
      <c r="W11" s="6"/>
      <c r="X11" s="6" t="s">
        <v>56</v>
      </c>
      <c r="Y11" s="6"/>
      <c r="Z11" s="6"/>
      <c r="AA11" s="6"/>
      <c r="AB11" s="8">
        <v>200</v>
      </c>
      <c r="AC11" s="8"/>
      <c r="AD11" s="8">
        <v>3440</v>
      </c>
      <c r="AE11" s="8">
        <v>31812</v>
      </c>
    </row>
    <row r="12" spans="1:51" s="2" customFormat="1" ht="24.75" customHeight="1" thickTop="1" thickBot="1" x14ac:dyDescent="0.35">
      <c r="A12" s="2" t="s">
        <v>30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10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8"/>
      <c r="AC12" s="8"/>
      <c r="AD12" s="8"/>
      <c r="AE12" s="8"/>
    </row>
    <row r="13" spans="1:51" s="2" customFormat="1" ht="24.75" customHeight="1" thickTop="1" thickBot="1" x14ac:dyDescent="0.35">
      <c r="A13" s="2" t="s">
        <v>31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0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8"/>
      <c r="AC13" s="8"/>
      <c r="AD13" s="8"/>
      <c r="AE13" s="8"/>
    </row>
    <row r="14" spans="1:51" s="2" customFormat="1" ht="24.75" customHeight="1" thickTop="1" thickBot="1" x14ac:dyDescent="0.35">
      <c r="A14" s="2" t="s">
        <v>32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0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8"/>
      <c r="AC14" s="8"/>
      <c r="AD14" s="8"/>
      <c r="AE14" s="8"/>
    </row>
    <row r="15" spans="1:51" s="2" customFormat="1" ht="24.75" customHeight="1" thickTop="1" thickBot="1" x14ac:dyDescent="0.35">
      <c r="A15" s="2" t="s">
        <v>33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0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8"/>
      <c r="AC15" s="8"/>
      <c r="AD15" s="8"/>
      <c r="AE15" s="8"/>
    </row>
    <row r="16" spans="1:51" s="2" customFormat="1" ht="24.75" customHeight="1" thickTop="1" thickBot="1" x14ac:dyDescent="0.35">
      <c r="A16" s="2" t="s">
        <v>34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10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8"/>
      <c r="AC16" s="8"/>
      <c r="AD16" s="8"/>
      <c r="AE16" s="8"/>
    </row>
    <row r="17" spans="1:31" s="2" customFormat="1" ht="24.75" customHeight="1" thickTop="1" thickBot="1" x14ac:dyDescent="0.35">
      <c r="A17" s="2" t="s">
        <v>35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10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8"/>
      <c r="AC17" s="8"/>
      <c r="AD17" s="8"/>
      <c r="AE17" s="8"/>
    </row>
    <row r="18" spans="1:31" s="2" customFormat="1" ht="24.75" customHeight="1" thickTop="1" thickBot="1" x14ac:dyDescent="0.35">
      <c r="A18" s="2" t="s">
        <v>36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10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8"/>
      <c r="AC18" s="8"/>
      <c r="AD18" s="8"/>
      <c r="AE18" s="8"/>
    </row>
    <row r="19" spans="1:31" s="2" customFormat="1" ht="24.75" customHeight="1" thickTop="1" thickBot="1" x14ac:dyDescent="0.35">
      <c r="A19" s="2" t="s">
        <v>37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10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8"/>
      <c r="AC19" s="8"/>
      <c r="AD19" s="8"/>
      <c r="AE19" s="8"/>
    </row>
    <row r="20" spans="1:31" s="2" customFormat="1" ht="24.75" customHeight="1" thickTop="1" thickBot="1" x14ac:dyDescent="0.35">
      <c r="A20" s="2" t="s">
        <v>38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10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8"/>
      <c r="AC20" s="8"/>
      <c r="AD20" s="8"/>
      <c r="AE20" s="8"/>
    </row>
    <row r="21" spans="1:31" s="2" customFormat="1" ht="24.75" customHeight="1" thickTop="1" thickBot="1" x14ac:dyDescent="0.35">
      <c r="A21" s="2" t="s">
        <v>39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10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8"/>
      <c r="AC21" s="8"/>
      <c r="AD21" s="8"/>
      <c r="AE21" s="8"/>
    </row>
    <row r="22" spans="1:31" ht="24.75" customHeight="1" thickTop="1" x14ac:dyDescent="0.7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</vt:i4>
      </vt:variant>
    </vt:vector>
  </HeadingPairs>
  <TitlesOfParts>
    <vt:vector size="41" baseType="lpstr">
      <vt:lpstr>UserFormSheet</vt:lpstr>
      <vt:lpstr>UserFormSheet (2)</vt:lpstr>
      <vt:lpstr>pardeshi archana</vt:lpstr>
      <vt:lpstr>S S KESARKAR</vt:lpstr>
      <vt:lpstr>V M MANDREKAR</vt:lpstr>
      <vt:lpstr>M  D RANE</vt:lpstr>
      <vt:lpstr>D G RATHOD</vt:lpstr>
      <vt:lpstr>D L LAD</vt:lpstr>
      <vt:lpstr>R R SAWNANT </vt:lpstr>
      <vt:lpstr>S D BAMBALE</vt:lpstr>
      <vt:lpstr>M V CHANDRAN</vt:lpstr>
      <vt:lpstr>P D CHAVAN</vt:lpstr>
      <vt:lpstr>R S GAJARMAL</vt:lpstr>
      <vt:lpstr>L D HADKAR</vt:lpstr>
      <vt:lpstr>S P MORE</vt:lpstr>
      <vt:lpstr>S M NAIK</vt:lpstr>
      <vt:lpstr>M B YADAV</vt:lpstr>
      <vt:lpstr>D B GHOLE</vt:lpstr>
      <vt:lpstr>U M KOLI</vt:lpstr>
      <vt:lpstr>D S NAKAYE</vt:lpstr>
      <vt:lpstr>S V PAGARE</vt:lpstr>
      <vt:lpstr>R R SARVANKAR</vt:lpstr>
      <vt:lpstr>H B SURYAVANSHI</vt:lpstr>
      <vt:lpstr>K G BALANDE</vt:lpstr>
      <vt:lpstr>S V KALE</vt:lpstr>
      <vt:lpstr>S G BANGAL</vt:lpstr>
      <vt:lpstr>A V GHANVAT</vt:lpstr>
      <vt:lpstr>S V HURNEKAR</vt:lpstr>
      <vt:lpstr>C S MUTTHU</vt:lpstr>
      <vt:lpstr>S G KUVLEKAR</vt:lpstr>
      <vt:lpstr>K D MOHITE</vt:lpstr>
      <vt:lpstr>S S RANGANKAR</vt:lpstr>
      <vt:lpstr>S N SHETTY</vt:lpstr>
      <vt:lpstr>R J SHINDE</vt:lpstr>
      <vt:lpstr>P R UNVHANE</vt:lpstr>
      <vt:lpstr>TEMPORary</vt:lpstr>
      <vt:lpstr>n s bordekar</vt:lpstr>
      <vt:lpstr>a b zore</vt:lpstr>
      <vt:lpstr>a a datt</vt:lpstr>
      <vt:lpstr>n d sharma</vt:lpstr>
      <vt:lpstr>S R BARVE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 Jondhale</dc:creator>
  <cp:lastModifiedBy>Siddhant Raje</cp:lastModifiedBy>
  <dcterms:created xsi:type="dcterms:W3CDTF">2020-12-09T10:09:45Z</dcterms:created>
  <dcterms:modified xsi:type="dcterms:W3CDTF">2021-01-01T14:22:58Z</dcterms:modified>
</cp:coreProperties>
</file>