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.000\Desktop\Vishal Dada\"/>
    </mc:Choice>
  </mc:AlternateContent>
  <xr:revisionPtr revIDLastSave="0" documentId="13_ncr:1_{349BC2A9-FD0C-4317-A6CD-37A07B43F0E9}" xr6:coauthVersionLast="46" xr6:coauthVersionMax="46" xr10:uidLastSave="{00000000-0000-0000-0000-000000000000}"/>
  <bookViews>
    <workbookView xWindow="28680" yWindow="-120" windowWidth="15600" windowHeight="11160" tabRatio="816" firstSheet="2" activeTab="3" xr2:uid="{00000000-000D-0000-FFFF-FFFF00000000}"/>
  </bookViews>
  <sheets>
    <sheet name="UserFormSheet" sheetId="40" r:id="rId1"/>
    <sheet name="UserFormSheet (2)" sheetId="43" r:id="rId2"/>
    <sheet name="S S KESARKAR" sheetId="2" r:id="rId3"/>
    <sheet name="Siddhant S Raje" sheetId="44" r:id="rId4"/>
    <sheet name="V M MANDREKAR" sheetId="3" r:id="rId5"/>
    <sheet name="M  D RANE" sheetId="4" r:id="rId6"/>
    <sheet name="D G RATHOD" sheetId="5" r:id="rId7"/>
    <sheet name="D L LAD" sheetId="6" r:id="rId8"/>
    <sheet name="R R SAWNANT " sheetId="7" r:id="rId9"/>
    <sheet name="S D BAMBALE" sheetId="8" r:id="rId10"/>
    <sheet name="M V CHANDRAN" sheetId="9" r:id="rId11"/>
    <sheet name="P D CHAVAN" sheetId="10" r:id="rId12"/>
    <sheet name="R S GAJARMAL" sheetId="11" r:id="rId13"/>
    <sheet name="L D HADKAR" sheetId="12" r:id="rId14"/>
    <sheet name="S P MORE" sheetId="13" r:id="rId15"/>
    <sheet name="S M NAIK" sheetId="14" r:id="rId16"/>
    <sheet name="M B YADAV" sheetId="15" r:id="rId17"/>
    <sheet name="D B GHOLE" sheetId="16" r:id="rId18"/>
    <sheet name="U M KOLI" sheetId="17" r:id="rId19"/>
    <sheet name="D S NAKAYE" sheetId="18" r:id="rId20"/>
    <sheet name="S V PAGARE" sheetId="19" r:id="rId21"/>
    <sheet name="R R SARVANKAR" sheetId="20" r:id="rId22"/>
    <sheet name="H B SURYAVANSHI" sheetId="21" r:id="rId23"/>
    <sheet name="K G BALANDE" sheetId="22" r:id="rId24"/>
    <sheet name="S V KALE" sheetId="23" r:id="rId25"/>
    <sheet name="S G BANGAL" sheetId="24" r:id="rId26"/>
    <sheet name="A V GHANVAT" sheetId="25" r:id="rId27"/>
    <sheet name="S V HURNEKAR" sheetId="26" r:id="rId28"/>
    <sheet name="C S MUTTHU" sheetId="34" r:id="rId29"/>
    <sheet name="S G KUVLEKAR" sheetId="27" r:id="rId30"/>
    <sheet name="K D MOHITE" sheetId="28" r:id="rId31"/>
    <sheet name="S S RANGANKAR" sheetId="29" r:id="rId32"/>
    <sheet name="S N SHETTY" sheetId="30" r:id="rId33"/>
    <sheet name="R J SHINDE" sheetId="31" r:id="rId34"/>
    <sheet name="P R UNVHANE" sheetId="32" r:id="rId35"/>
    <sheet name="TEMPORary" sheetId="33" r:id="rId36"/>
    <sheet name="n s bordekar" sheetId="35" r:id="rId37"/>
    <sheet name="a b zore" sheetId="36" r:id="rId38"/>
    <sheet name="a a datt" sheetId="37" r:id="rId39"/>
    <sheet name="n d sharma" sheetId="38" r:id="rId40"/>
    <sheet name="S R BARVE" sheetId="39" r:id="rId41"/>
  </sheets>
  <definedNames>
    <definedName name="Months">#REF!</definedName>
  </definedNames>
  <calcPr calcId="181029"/>
</workbook>
</file>

<file path=xl/calcChain.xml><?xml version="1.0" encoding="utf-8"?>
<calcChain xmlns="http://schemas.openxmlformats.org/spreadsheetml/2006/main">
  <c r="AG2" i="43" l="1"/>
  <c r="G2" i="43" l="1"/>
  <c r="C2" i="43" l="1"/>
</calcChain>
</file>

<file path=xl/sharedStrings.xml><?xml version="1.0" encoding="utf-8"?>
<sst xmlns="http://schemas.openxmlformats.org/spreadsheetml/2006/main" count="2228" uniqueCount="126">
  <si>
    <t>Name of Employee</t>
  </si>
  <si>
    <t>कालावधी</t>
  </si>
  <si>
    <t>तपशील</t>
  </si>
  <si>
    <t>रजा वेतन</t>
  </si>
  <si>
    <t>अतिरिक्त महागाई भत्ता</t>
  </si>
  <si>
    <t xml:space="preserve"> अतिकालीन भत्ता</t>
  </si>
  <si>
    <t xml:space="preserve">इतर भत्ते </t>
  </si>
  <si>
    <t>व्यचसाय भत्ते</t>
  </si>
  <si>
    <t>वेतन अग्रीम</t>
  </si>
  <si>
    <t>सहकारी गृह बांधणीचा हप्ता</t>
  </si>
  <si>
    <t>दिर्घकालीन अग्रीम</t>
  </si>
  <si>
    <t>संगणक अग्रीम</t>
  </si>
  <si>
    <t>घरबांधणी अग्रीम</t>
  </si>
  <si>
    <t>मोटार कार/अन्य मोटार वाहन अ्ग्रीम</t>
  </si>
  <si>
    <t>अन्य वाहन सायकल अग्रीम</t>
  </si>
  <si>
    <t>अल्पकालीन अग्रिम</t>
  </si>
  <si>
    <t>उत्सव अग्रिम</t>
  </si>
  <si>
    <t>अन्य अग्रिम</t>
  </si>
  <si>
    <t xml:space="preserve">अग्रिमावर वसूल केलेले व्याज 0049 </t>
  </si>
  <si>
    <t xml:space="preserve">वसुली </t>
  </si>
  <si>
    <t>डाक विमा योजना</t>
  </si>
  <si>
    <t>आयकर</t>
  </si>
  <si>
    <t>कोषागारातून न केली जाणारी रक्कम</t>
  </si>
  <si>
    <t>आयुर्विमा पॉलीसीची वर्गणी</t>
  </si>
  <si>
    <t>डाक आवर्ती ठेव योजना वर्गणी</t>
  </si>
  <si>
    <t>पर्यवेक्षी अधिकारी/ अधिक्षकाची आज्ञाक्षरी</t>
  </si>
  <si>
    <t>देयक क्रमांक व दिनांक</t>
  </si>
  <si>
    <t>शेरा</t>
  </si>
  <si>
    <t>मार्च  2020</t>
  </si>
  <si>
    <t>एप्रिल 2020</t>
  </si>
  <si>
    <t>मे 2020</t>
  </si>
  <si>
    <t>जुन 2020</t>
  </si>
  <si>
    <t>जुलै 2020</t>
  </si>
  <si>
    <t>ऑगस्ट 2020</t>
  </si>
  <si>
    <t>सप्टेंबर 2020</t>
  </si>
  <si>
    <t>ऑक्टोबर 2020</t>
  </si>
  <si>
    <t>नोव्हेंबर 2020</t>
  </si>
  <si>
    <t>डिसेंबर 2020</t>
  </si>
  <si>
    <t>जानेवारी 2020</t>
  </si>
  <si>
    <t>फेब्रुवारी 2020</t>
  </si>
  <si>
    <t>वेतन विशेष वेतन BASIC</t>
  </si>
  <si>
    <t xml:space="preserve">महागाई भत्ता DA </t>
  </si>
  <si>
    <t>घरभाडे भत्ता HRA</t>
  </si>
  <si>
    <t>वाहतूक भत्ता TA</t>
  </si>
  <si>
    <t>शहरपूरक भत्ता CLA</t>
  </si>
  <si>
    <t>एकूण देय रक्कम GROSS</t>
  </si>
  <si>
    <t>भ'निनि. वर्गणी GPF</t>
  </si>
  <si>
    <t>गट विमा योजना GIS</t>
  </si>
  <si>
    <t>अनुज्ञप्ति फीHRR  +ser</t>
  </si>
  <si>
    <t>भनिनि अग्रीम gpf advance</t>
  </si>
  <si>
    <t>व्यवसाय कर pt</t>
  </si>
  <si>
    <t>एकूण वजाती total deduction</t>
  </si>
  <si>
    <t>कोषागारातील निव्वळ देय रक्कम net pay</t>
  </si>
  <si>
    <t>KESARKAR</t>
  </si>
  <si>
    <t>440+52</t>
  </si>
  <si>
    <t>6/10 1250</t>
  </si>
  <si>
    <t>RATHOD</t>
  </si>
  <si>
    <t>अग्रिमावर वसूल केलेले व्याज 0049 HBA</t>
  </si>
  <si>
    <t>20/23 636</t>
  </si>
  <si>
    <t>LAD</t>
  </si>
  <si>
    <t>130+52</t>
  </si>
  <si>
    <t>इतर भत्ते washing</t>
  </si>
  <si>
    <t>180/180 825</t>
  </si>
  <si>
    <t>177/190 1200</t>
  </si>
  <si>
    <t>Month List</t>
  </si>
  <si>
    <t>Years</t>
  </si>
  <si>
    <t>जानेवारी</t>
  </si>
  <si>
    <t>फेब्रुवारी</t>
  </si>
  <si>
    <t>मार्च</t>
  </si>
  <si>
    <t>एप्रिल</t>
  </si>
  <si>
    <t>मे</t>
  </si>
  <si>
    <t>जुन</t>
  </si>
  <si>
    <t>जुलै</t>
  </si>
  <si>
    <t>ऑगस्ट</t>
  </si>
  <si>
    <t>सप्टेंबर</t>
  </si>
  <si>
    <t>ऑक्टोबर</t>
  </si>
  <si>
    <t>नोव्हेंबर</t>
  </si>
  <si>
    <t>डिसेंबर</t>
  </si>
  <si>
    <t>Raje</t>
  </si>
  <si>
    <t>Sum</t>
  </si>
  <si>
    <t>Description</t>
  </si>
  <si>
    <t>D_Allowance</t>
  </si>
  <si>
    <t>Extra_D_Allowance</t>
  </si>
  <si>
    <t>H_R_Allowance</t>
  </si>
  <si>
    <t>Travel_Allowance</t>
  </si>
  <si>
    <t>C_L_Allowance</t>
  </si>
  <si>
    <t>Overtime_Allowance</t>
  </si>
  <si>
    <t>Other_Allowance</t>
  </si>
  <si>
    <t>Profession_Allowance</t>
  </si>
  <si>
    <t>Leave_Pay</t>
  </si>
  <si>
    <t>Basic_Pay</t>
  </si>
  <si>
    <t>Percentage name</t>
  </si>
  <si>
    <t>D_Allowance_Percentage</t>
  </si>
  <si>
    <t>Gross</t>
  </si>
  <si>
    <t>Test</t>
  </si>
  <si>
    <t>Test 2</t>
  </si>
  <si>
    <t>test Description</t>
  </si>
  <si>
    <t>Some Constants</t>
  </si>
  <si>
    <t>% of Basic</t>
  </si>
  <si>
    <t>H_R_Allowance_Percentage</t>
  </si>
  <si>
    <t>Test Description</t>
  </si>
  <si>
    <t>À</t>
  </si>
  <si>
    <t>^^</t>
  </si>
  <si>
    <t>G_P_F</t>
  </si>
  <si>
    <t>G_P_F_Advance</t>
  </si>
  <si>
    <t>H_R_R</t>
  </si>
  <si>
    <t>G_I_S</t>
  </si>
  <si>
    <t>Payment_Advance</t>
  </si>
  <si>
    <t>Cooprative_Housing_Installment</t>
  </si>
  <si>
    <t>Computer_Advance</t>
  </si>
  <si>
    <t>House_Building_Advance</t>
  </si>
  <si>
    <t>Motor_Vehicle_Advance</t>
  </si>
  <si>
    <t>Other_Vehicle_Advance</t>
  </si>
  <si>
    <t>Festival_Advance</t>
  </si>
  <si>
    <t>Other_Advance</t>
  </si>
  <si>
    <t>Interest_Over_Advance</t>
  </si>
  <si>
    <t>Post_Insurance_Policy</t>
  </si>
  <si>
    <t>Profession_Tax</t>
  </si>
  <si>
    <t>Income_Tax</t>
  </si>
  <si>
    <t>Total_Deduction</t>
  </si>
  <si>
    <t>Net_Pay</t>
  </si>
  <si>
    <t>Life_Insurance_Policy</t>
  </si>
  <si>
    <t>Post_Periodic_Saving_Policy</t>
  </si>
  <si>
    <t>Remark</t>
  </si>
  <si>
    <t>SavedRecentYear</t>
  </si>
  <si>
    <t>SavedRecentMonth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</si>
</sst>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00439]0"/>
  </numFmts>
  <fonts count="1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Sakal Marathi"/>
    </font>
    <font>
      <sz val="12"/>
      <name val="Calibri"/>
      <family val="2"/>
      <scheme val="minor"/>
    </font>
    <font>
      <b/>
      <sz val="12"/>
      <name val="Sakal Marathi"/>
    </font>
    <font>
      <u/>
      <sz val="11"/>
      <color theme="10"/>
      <name val="Calibri"/>
      <family val="2"/>
      <scheme val="minor"/>
    </font>
    <font>
      <sz val="11"/>
      <color theme="1"/>
      <name val="Sakal Marathi"/>
    </font>
    <font>
      <sz val="14"/>
      <color theme="1"/>
      <name val="Calibri"/>
      <family val="2"/>
      <scheme val="minor"/>
    </font>
    <font>
      <sz val="14"/>
      <name val="Sakal Marathi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Shivaji01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</fills>
  <borders count="2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9" fillId="0" borderId="0" applyNumberFormat="0" applyFill="0" applyBorder="0" applyAlignment="0" applyProtection="0"/>
  </cellStyleXfs>
  <cellXfs count="40">
    <xf numFmtId="0" fontId="0" fillId="0" borderId="0" xfId="0"/>
    <xf numFmtId="0" fontId="6" fillId="0" borderId="2" xfId="0" applyFont="1" applyBorder="1"/>
    <xf numFmtId="0" fontId="6" fillId="0" borderId="2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5" fillId="3" borderId="2" xfId="2" applyFont="1" applyBorder="1" applyAlignment="1">
      <alignment horizontal="center" vertical="center"/>
    </xf>
    <xf numFmtId="0" fontId="5" fillId="3" borderId="2" xfId="2" applyFont="1" applyBorder="1" applyAlignment="1">
      <alignment horizontal="center" vertical="center" wrapText="1"/>
    </xf>
    <xf numFmtId="0" fontId="5" fillId="5" borderId="1" xfId="4" applyFont="1" applyAlignment="1">
      <alignment horizontal="center" vertical="center"/>
    </xf>
    <xf numFmtId="0" fontId="5" fillId="5" borderId="1" xfId="4" applyFont="1" applyAlignment="1">
      <alignment horizontal="center" vertical="center" wrapText="1"/>
    </xf>
    <xf numFmtId="0" fontId="7" fillId="4" borderId="2" xfId="3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5" fillId="4" borderId="2" xfId="3" applyFont="1" applyBorder="1" applyAlignment="1">
      <alignment horizontal="center" vertical="center" wrapText="1"/>
    </xf>
    <xf numFmtId="0" fontId="9" fillId="0" borderId="0" xfId="5"/>
    <xf numFmtId="0" fontId="10" fillId="0" borderId="0" xfId="0" applyFont="1"/>
    <xf numFmtId="0" fontId="0" fillId="0" borderId="0" xfId="0" applyFont="1"/>
    <xf numFmtId="0" fontId="11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2" fillId="3" borderId="0" xfId="2"/>
    <xf numFmtId="0" fontId="1" fillId="2" borderId="0" xfId="1"/>
    <xf numFmtId="0" fontId="14" fillId="0" borderId="0" xfId="0" applyFont="1"/>
    <xf numFmtId="0" fontId="11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164" fontId="11" fillId="0" borderId="4" xfId="0" applyNumberFormat="1" applyFont="1" applyBorder="1" applyAlignment="1">
      <alignment horizontal="center" vertical="center"/>
    </xf>
    <xf numFmtId="0" fontId="13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5" fillId="0" borderId="0" xfId="0" applyFont="1"/>
  </cellXfs>
  <cellStyles count="6">
    <cellStyle name="Bad" xfId="2" builtinId="27"/>
    <cellStyle name="Check Cell" xfId="4" builtinId="23"/>
    <cellStyle name="Good" xfId="1" builtinId="26"/>
    <cellStyle name="Hyperlink" xfId="5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B32AF-45FD-4939-843C-045F5BB418B0}">
  <sheetPr codeName="Sheet4"/>
  <dimension ref="B1:AM27"/>
  <sheetViews>
    <sheetView zoomScaleNormal="100" workbookViewId="0">
      <selection activeCell="C21" sqref="C21"/>
    </sheetView>
  </sheetViews>
  <sheetFormatPr defaultRowHeight="14.4" x14ac:dyDescent="0.3"/>
  <cols>
    <col min="1" max="1" width="9.88671875" bestFit="1" customWidth="1"/>
    <col min="2" max="2" width="15.88671875" customWidth="1"/>
    <col min="3" max="3" width="18" bestFit="1" customWidth="1"/>
    <col min="4" max="4" width="18.5546875" customWidth="1"/>
    <col min="5" max="5" width="19.21875" bestFit="1" customWidth="1"/>
    <col min="6" max="6" width="13.88671875" bestFit="1" customWidth="1"/>
    <col min="8" max="8" width="22.109375" bestFit="1" customWidth="1"/>
    <col min="9" max="9" width="19.21875" bestFit="1" customWidth="1"/>
    <col min="10" max="10" width="24.21875" bestFit="1" customWidth="1"/>
    <col min="15" max="15" width="20.44140625" bestFit="1" customWidth="1"/>
    <col min="21" max="21" width="17.21875" bestFit="1" customWidth="1"/>
  </cols>
  <sheetData>
    <row r="1" spans="2:39" ht="15" thickBot="1" x14ac:dyDescent="0.35"/>
    <row r="2" spans="2:39" ht="152.4" thickTop="1" thickBot="1" x14ac:dyDescent="0.35">
      <c r="B2" s="21" t="s">
        <v>64</v>
      </c>
      <c r="C2" s="25" t="s">
        <v>65</v>
      </c>
      <c r="E2" s="4" t="s">
        <v>2</v>
      </c>
      <c r="F2" s="4" t="s">
        <v>40</v>
      </c>
      <c r="G2" s="4" t="s">
        <v>3</v>
      </c>
      <c r="H2" s="4" t="s">
        <v>41</v>
      </c>
      <c r="I2" s="4" t="s">
        <v>4</v>
      </c>
      <c r="J2" s="4" t="s">
        <v>42</v>
      </c>
      <c r="K2" s="4" t="s">
        <v>43</v>
      </c>
      <c r="L2" s="4" t="s">
        <v>44</v>
      </c>
      <c r="M2" s="4" t="s">
        <v>5</v>
      </c>
      <c r="N2" s="4" t="s">
        <v>6</v>
      </c>
      <c r="O2" s="4" t="s">
        <v>7</v>
      </c>
      <c r="P2" s="12" t="s">
        <v>45</v>
      </c>
      <c r="Q2" s="7" t="s">
        <v>46</v>
      </c>
      <c r="R2" s="7" t="s">
        <v>49</v>
      </c>
      <c r="S2" s="7" t="s">
        <v>48</v>
      </c>
      <c r="T2" s="7" t="s">
        <v>47</v>
      </c>
      <c r="U2" s="7" t="s">
        <v>8</v>
      </c>
      <c r="V2" s="7" t="s">
        <v>9</v>
      </c>
      <c r="W2" s="7" t="s">
        <v>11</v>
      </c>
      <c r="X2" s="7" t="s">
        <v>12</v>
      </c>
      <c r="Y2" s="7" t="s">
        <v>13</v>
      </c>
      <c r="Z2" s="7" t="s">
        <v>14</v>
      </c>
      <c r="AA2" s="7" t="s">
        <v>16</v>
      </c>
      <c r="AB2" s="7" t="s">
        <v>17</v>
      </c>
      <c r="AC2" s="7" t="s">
        <v>18</v>
      </c>
      <c r="AD2" s="7" t="s">
        <v>20</v>
      </c>
      <c r="AE2" s="9" t="s">
        <v>50</v>
      </c>
      <c r="AF2" s="9" t="s">
        <v>21</v>
      </c>
      <c r="AG2" s="9" t="s">
        <v>51</v>
      </c>
      <c r="AH2" s="9" t="s">
        <v>52</v>
      </c>
      <c r="AI2" s="5" t="s">
        <v>23</v>
      </c>
      <c r="AJ2" s="5" t="s">
        <v>24</v>
      </c>
      <c r="AK2" s="5" t="s">
        <v>25</v>
      </c>
      <c r="AL2" s="5" t="s">
        <v>26</v>
      </c>
      <c r="AM2" s="5" t="s">
        <v>27</v>
      </c>
    </row>
    <row r="3" spans="2:39" ht="24" x14ac:dyDescent="0.3">
      <c r="B3" s="22" t="s">
        <v>66</v>
      </c>
      <c r="C3" s="26">
        <v>2012</v>
      </c>
      <c r="E3" t="s">
        <v>80</v>
      </c>
      <c r="F3" t="s">
        <v>90</v>
      </c>
      <c r="G3" t="s">
        <v>89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93</v>
      </c>
      <c r="Q3" t="s">
        <v>103</v>
      </c>
      <c r="R3" t="s">
        <v>104</v>
      </c>
      <c r="S3" t="s">
        <v>105</v>
      </c>
      <c r="T3" t="s">
        <v>106</v>
      </c>
      <c r="U3" t="s">
        <v>107</v>
      </c>
      <c r="V3" t="s">
        <v>108</v>
      </c>
      <c r="W3" t="s">
        <v>109</v>
      </c>
      <c r="X3" t="s">
        <v>110</v>
      </c>
      <c r="Y3" t="s">
        <v>111</v>
      </c>
      <c r="Z3" t="s">
        <v>112</v>
      </c>
      <c r="AA3" t="s">
        <v>113</v>
      </c>
      <c r="AB3" t="s">
        <v>114</v>
      </c>
      <c r="AC3" t="s">
        <v>115</v>
      </c>
      <c r="AD3" t="s">
        <v>116</v>
      </c>
      <c r="AE3" t="s">
        <v>117</v>
      </c>
      <c r="AF3" t="s">
        <v>118</v>
      </c>
      <c r="AG3" t="s">
        <v>119</v>
      </c>
      <c r="AH3" t="s">
        <v>120</v>
      </c>
      <c r="AI3" t="s">
        <v>121</v>
      </c>
      <c r="AJ3" t="s">
        <v>122</v>
      </c>
      <c r="AM3" t="s">
        <v>123</v>
      </c>
    </row>
    <row r="4" spans="2:39" ht="24" x14ac:dyDescent="0.3">
      <c r="B4" s="23" t="s">
        <v>67</v>
      </c>
      <c r="C4" s="26">
        <v>2013</v>
      </c>
      <c r="H4" s="20" t="s">
        <v>91</v>
      </c>
      <c r="J4" s="20" t="s">
        <v>91</v>
      </c>
      <c r="L4" s="20"/>
    </row>
    <row r="5" spans="2:39" ht="24" x14ac:dyDescent="0.3">
      <c r="B5" s="23" t="s">
        <v>68</v>
      </c>
      <c r="C5" s="26">
        <v>2014</v>
      </c>
      <c r="H5" t="s">
        <v>92</v>
      </c>
      <c r="J5" t="s">
        <v>99</v>
      </c>
      <c r="T5" s="39"/>
      <c r="V5" s="39" t="s">
        <v>101</v>
      </c>
    </row>
    <row r="6" spans="2:39" ht="24" x14ac:dyDescent="0.3">
      <c r="B6" s="23" t="s">
        <v>69</v>
      </c>
      <c r="C6" s="26">
        <v>2015</v>
      </c>
    </row>
    <row r="7" spans="2:39" ht="24" x14ac:dyDescent="0.3">
      <c r="B7" s="23" t="s">
        <v>70</v>
      </c>
      <c r="C7" s="26">
        <v>2016</v>
      </c>
    </row>
    <row r="8" spans="2:39" ht="24" x14ac:dyDescent="0.3">
      <c r="B8" s="23" t="s">
        <v>71</v>
      </c>
      <c r="C8" s="26">
        <v>2017</v>
      </c>
    </row>
    <row r="9" spans="2:39" ht="24" x14ac:dyDescent="0.3">
      <c r="B9" s="23" t="s">
        <v>72</v>
      </c>
      <c r="C9" s="26">
        <v>2018</v>
      </c>
    </row>
    <row r="10" spans="2:39" ht="24" x14ac:dyDescent="0.3">
      <c r="B10" s="23" t="s">
        <v>73</v>
      </c>
      <c r="C10" s="26">
        <v>2019</v>
      </c>
    </row>
    <row r="11" spans="2:39" ht="24.6" thickBot="1" x14ac:dyDescent="0.35">
      <c r="B11" s="23" t="s">
        <v>74</v>
      </c>
      <c r="C11" s="26">
        <v>2020</v>
      </c>
      <c r="E11" s="28" t="s">
        <v>97</v>
      </c>
    </row>
    <row r="12" spans="2:39" ht="24.6" thickBot="1" x14ac:dyDescent="0.35">
      <c r="B12" s="23" t="s">
        <v>75</v>
      </c>
      <c r="C12" s="26">
        <v>2021</v>
      </c>
      <c r="E12" s="36" t="s">
        <v>81</v>
      </c>
      <c r="F12" s="37" t="s">
        <v>83</v>
      </c>
      <c r="G12" s="37" t="s">
        <v>84</v>
      </c>
      <c r="H12" s="37" t="s">
        <v>85</v>
      </c>
      <c r="I12" s="38" t="s">
        <v>88</v>
      </c>
      <c r="M12" s="29"/>
    </row>
    <row r="13" spans="2:39" ht="24" x14ac:dyDescent="0.3">
      <c r="B13" s="23" t="s">
        <v>76</v>
      </c>
      <c r="C13" s="26">
        <v>2022</v>
      </c>
      <c r="E13" s="33">
        <v>6</v>
      </c>
      <c r="F13" s="34">
        <v>30</v>
      </c>
      <c r="G13" s="34">
        <v>200</v>
      </c>
      <c r="H13" s="34">
        <v>200</v>
      </c>
      <c r="I13" s="35">
        <v>200</v>
      </c>
    </row>
    <row r="14" spans="2:39" ht="24.6" thickBot="1" x14ac:dyDescent="0.35">
      <c r="B14" s="24" t="s">
        <v>77</v>
      </c>
      <c r="C14" s="26">
        <v>2023</v>
      </c>
      <c r="E14" s="30" t="s">
        <v>98</v>
      </c>
      <c r="F14" s="31" t="s">
        <v>98</v>
      </c>
      <c r="G14" s="31"/>
      <c r="H14" s="31">
        <v>300</v>
      </c>
      <c r="I14" s="32">
        <v>300</v>
      </c>
    </row>
    <row r="15" spans="2:39" ht="18" x14ac:dyDescent="0.3">
      <c r="B15" s="16"/>
      <c r="C15" s="26">
        <v>2024</v>
      </c>
    </row>
    <row r="16" spans="2:39" ht="18" x14ac:dyDescent="0.3">
      <c r="B16" s="16"/>
      <c r="C16" s="26">
        <v>2025</v>
      </c>
    </row>
    <row r="17" spans="2:3" ht="18.600000000000001" thickBot="1" x14ac:dyDescent="0.35">
      <c r="C17" s="27">
        <v>2026</v>
      </c>
    </row>
    <row r="18" spans="2:3" ht="18" x14ac:dyDescent="0.3">
      <c r="C18" s="17"/>
    </row>
    <row r="19" spans="2:3" ht="18" x14ac:dyDescent="0.3">
      <c r="C19" s="17"/>
    </row>
    <row r="20" spans="2:3" x14ac:dyDescent="0.3">
      <c r="B20" t="s">
        <v>124</v>
      </c>
      <c r="C20" t="s">
        <v>125</v>
      </c>
    </row>
    <row r="21" spans="2:3" ht="18" x14ac:dyDescent="0.3">
      <c r="C21" s="17"/>
    </row>
    <row r="22" spans="2:3" ht="18" x14ac:dyDescent="0.3">
      <c r="C22" s="17"/>
    </row>
    <row r="23" spans="2:3" ht="18" x14ac:dyDescent="0.3">
      <c r="C23" s="17"/>
    </row>
    <row r="24" spans="2:3" ht="18" x14ac:dyDescent="0.3">
      <c r="C24" s="17"/>
    </row>
    <row r="25" spans="2:3" ht="18" x14ac:dyDescent="0.3">
      <c r="C25" s="17"/>
    </row>
    <row r="26" spans="2:3" ht="18" x14ac:dyDescent="0.3">
      <c r="C26" s="17"/>
    </row>
    <row r="27" spans="2:3" ht="18" x14ac:dyDescent="0.3">
      <c r="C27" s="17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F1924-13EF-4A6F-8D4F-A8C3E6F77B52}">
  <sheetPr codeName="Sheet43"/>
  <dimension ref="A1:AL3"/>
  <sheetViews>
    <sheetView zoomScaleNormal="100" workbookViewId="0">
      <selection activeCell="D2" sqref="D2"/>
    </sheetView>
  </sheetViews>
  <sheetFormatPr defaultRowHeight="19.8" x14ac:dyDescent="0.65"/>
  <cols>
    <col min="1" max="1" width="9.88671875" style="15" bestFit="1" customWidth="1"/>
    <col min="2" max="2" width="8.88671875" style="14"/>
    <col min="3" max="3" width="15.5546875" style="14" customWidth="1"/>
    <col min="4" max="4" width="18.5546875" customWidth="1"/>
    <col min="33" max="33" width="11" bestFit="1" customWidth="1"/>
  </cols>
  <sheetData>
    <row r="1" spans="1:38" s="5" customFormat="1" ht="156.6" customHeight="1" thickTop="1" thickBot="1" x14ac:dyDescent="0.35">
      <c r="C1" s="5" t="s">
        <v>1</v>
      </c>
      <c r="D1" s="4" t="s">
        <v>2</v>
      </c>
      <c r="E1" s="4" t="s">
        <v>40</v>
      </c>
      <c r="F1" s="4" t="s">
        <v>3</v>
      </c>
      <c r="G1" s="4" t="s">
        <v>41</v>
      </c>
      <c r="H1" s="4" t="s">
        <v>4</v>
      </c>
      <c r="I1" s="4" t="s">
        <v>42</v>
      </c>
      <c r="J1" s="4" t="s">
        <v>43</v>
      </c>
      <c r="K1" s="4" t="s">
        <v>44</v>
      </c>
      <c r="L1" s="4" t="s">
        <v>5</v>
      </c>
      <c r="M1" s="4" t="s">
        <v>6</v>
      </c>
      <c r="N1" s="4" t="s">
        <v>7</v>
      </c>
      <c r="O1" s="12" t="s">
        <v>45</v>
      </c>
      <c r="P1" s="7" t="s">
        <v>46</v>
      </c>
      <c r="Q1" s="7" t="s">
        <v>49</v>
      </c>
      <c r="R1" s="7" t="s">
        <v>48</v>
      </c>
      <c r="S1" s="7" t="s">
        <v>47</v>
      </c>
      <c r="T1" s="7" t="s">
        <v>8</v>
      </c>
      <c r="U1" s="7" t="s">
        <v>9</v>
      </c>
      <c r="V1" s="7" t="s">
        <v>11</v>
      </c>
      <c r="W1" s="7" t="s">
        <v>12</v>
      </c>
      <c r="X1" s="7" t="s">
        <v>13</v>
      </c>
      <c r="Y1" s="7" t="s">
        <v>14</v>
      </c>
      <c r="Z1" s="7" t="s">
        <v>16</v>
      </c>
      <c r="AA1" s="7" t="s">
        <v>17</v>
      </c>
      <c r="AB1" s="7" t="s">
        <v>18</v>
      </c>
      <c r="AC1" s="7" t="s">
        <v>20</v>
      </c>
      <c r="AD1" s="9" t="s">
        <v>50</v>
      </c>
      <c r="AE1" s="9" t="s">
        <v>21</v>
      </c>
      <c r="AF1" s="9" t="s">
        <v>51</v>
      </c>
      <c r="AG1" s="9" t="s">
        <v>52</v>
      </c>
      <c r="AH1" s="5" t="s">
        <v>23</v>
      </c>
      <c r="AI1" s="5" t="s">
        <v>24</v>
      </c>
      <c r="AJ1" s="5" t="s">
        <v>25</v>
      </c>
      <c r="AK1" s="5" t="s">
        <v>26</v>
      </c>
      <c r="AL1" s="5" t="s">
        <v>27</v>
      </c>
    </row>
    <row r="2" spans="1:38" ht="20.399999999999999" thickTop="1" x14ac:dyDescent="0.65">
      <c r="A2" s="15" t="s">
        <v>67</v>
      </c>
      <c r="B2" s="14">
        <v>2020</v>
      </c>
      <c r="C2" s="14" t="str">
        <f>CONCATENATE(A2, " ",B2)</f>
        <v>फेब्रुवारी 2020</v>
      </c>
      <c r="E2">
        <v>40400</v>
      </c>
      <c r="G2">
        <f>E2*E3/100</f>
        <v>9696</v>
      </c>
      <c r="O2" s="19" t="s">
        <v>79</v>
      </c>
      <c r="AF2" s="18" t="s">
        <v>79</v>
      </c>
      <c r="AG2" t="e">
        <f>O2-AF2</f>
        <v>#VALUE!</v>
      </c>
    </row>
    <row r="3" spans="1:38" x14ac:dyDescent="0.65">
      <c r="D3" s="13"/>
      <c r="E3">
        <v>24</v>
      </c>
      <c r="AD3" s="39" t="s">
        <v>102</v>
      </c>
    </row>
  </sheetData>
  <dataValidations count="2">
    <dataValidation type="list" allowBlank="1" showInputMessage="1" showErrorMessage="1" sqref="A1:A1048576" xr:uid="{5E162C4A-9CFC-4DE8-BF38-113D26951D4F}">
      <formula1>#REF!</formula1>
    </dataValidation>
    <dataValidation type="list" allowBlank="1" showInputMessage="1" showErrorMessage="1" sqref="B1:B1048576" xr:uid="{66AB3CFE-D699-419F-AC16-4A2FCC542483}">
      <formula1>#REF!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Y22"/>
  <sheetViews>
    <sheetView zoomScale="115" zoomScaleNormal="115" workbookViewId="0">
      <selection activeCell="C13" sqref="C13:M13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53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9696</v>
      </c>
      <c r="H11" s="3">
        <v>400</v>
      </c>
      <c r="I11" s="3">
        <v>300</v>
      </c>
      <c r="J11" s="3"/>
      <c r="K11" s="3"/>
      <c r="L11" s="3"/>
      <c r="M11" s="10">
        <v>56414</v>
      </c>
      <c r="N11" s="6">
        <v>8000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8560</v>
      </c>
      <c r="AE11" s="8">
        <v>47854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>
        <v>25900</v>
      </c>
      <c r="D13" s="3">
        <v>500</v>
      </c>
      <c r="E13" s="3">
        <v>18648</v>
      </c>
      <c r="F13" s="3">
        <v>7000</v>
      </c>
      <c r="G13" s="3">
        <v>5000</v>
      </c>
      <c r="H13" s="3">
        <v>200</v>
      </c>
      <c r="I13" s="3">
        <v>300</v>
      </c>
      <c r="J13" s="3">
        <v>200</v>
      </c>
      <c r="K13" s="3">
        <v>50</v>
      </c>
      <c r="L13" s="3">
        <v>200</v>
      </c>
      <c r="M13" s="10">
        <v>57998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23CD4-36CC-4349-9CC8-3A63F740CDE6}">
  <sheetPr codeName="Sheet1"/>
  <dimension ref="A1:AY22"/>
  <sheetViews>
    <sheetView tabSelected="1" topLeftCell="A21" workbookViewId="0">
      <selection activeCell="A21" sqref="A21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customWidth="1"/>
    <col min="11" max="11" width="10.33203125" style="1" customWidth="1"/>
    <col min="12" max="12" width="14.21875" style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78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 t="s">
        <v>95</v>
      </c>
      <c r="C12" s="3">
        <v>20000</v>
      </c>
      <c r="D12" s="3">
        <v>3000</v>
      </c>
      <c r="E12" s="3">
        <v>400</v>
      </c>
      <c r="F12" s="3">
        <v>1200</v>
      </c>
      <c r="G12" s="3">
        <v>5000</v>
      </c>
      <c r="H12" s="3">
        <v>1200</v>
      </c>
      <c r="I12" s="3">
        <v>0</v>
      </c>
      <c r="J12" s="3">
        <v>0</v>
      </c>
      <c r="K12" s="3">
        <v>2500</v>
      </c>
      <c r="L12" s="3">
        <v>0</v>
      </c>
      <c r="M12" s="10">
        <v>33300</v>
      </c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 t="s">
        <v>100</v>
      </c>
      <c r="C13" s="3">
        <v>40000</v>
      </c>
      <c r="D13" s="3">
        <v>1200</v>
      </c>
      <c r="E13" s="3">
        <v>2400</v>
      </c>
      <c r="F13" s="3">
        <v>1200</v>
      </c>
      <c r="G13" s="3">
        <v>12000</v>
      </c>
      <c r="H13" s="3">
        <v>200</v>
      </c>
      <c r="I13" s="3">
        <v>300</v>
      </c>
      <c r="J13" s="3">
        <v>12</v>
      </c>
      <c r="K13" s="3">
        <v>100</v>
      </c>
      <c r="L13" s="3">
        <v>300</v>
      </c>
      <c r="M13" s="10">
        <v>57712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 t="s">
        <v>96</v>
      </c>
      <c r="C17" s="3">
        <v>330</v>
      </c>
      <c r="D17" s="3">
        <v>2000</v>
      </c>
      <c r="E17" s="3">
        <v>238</v>
      </c>
      <c r="F17" s="3">
        <v>300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10">
        <v>2868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 t="s">
        <v>94</v>
      </c>
      <c r="C20" s="3">
        <v>20000</v>
      </c>
      <c r="D20" s="3">
        <v>3000</v>
      </c>
      <c r="E20" s="3">
        <v>0</v>
      </c>
      <c r="F20" s="3">
        <v>5000</v>
      </c>
      <c r="G20" s="3">
        <v>1200</v>
      </c>
      <c r="H20" s="3">
        <v>1000</v>
      </c>
      <c r="I20" s="3">
        <v>2500</v>
      </c>
      <c r="J20" s="3">
        <v>1300</v>
      </c>
      <c r="K20" s="3">
        <v>1500</v>
      </c>
      <c r="L20" s="3">
        <v>1400</v>
      </c>
      <c r="M20" s="10">
        <v>36900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22"/>
  <sheetViews>
    <sheetView topLeftCell="A8" workbookViewId="0">
      <selection activeCell="AK10" sqref="AK10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39200</v>
      </c>
      <c r="D11" s="3"/>
      <c r="E11" s="3">
        <v>6664</v>
      </c>
      <c r="F11" s="3"/>
      <c r="G11" s="3">
        <v>9408</v>
      </c>
      <c r="H11" s="3">
        <v>400</v>
      </c>
      <c r="I11" s="3">
        <v>300</v>
      </c>
      <c r="J11" s="3"/>
      <c r="K11" s="3"/>
      <c r="L11" s="3"/>
      <c r="M11" s="10">
        <v>55972</v>
      </c>
      <c r="N11" s="6">
        <v>9000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9560</v>
      </c>
      <c r="AE11" s="8">
        <v>46412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Y22"/>
  <sheetViews>
    <sheetView topLeftCell="A21" workbookViewId="0">
      <selection activeCell="A21" sqref="A2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886718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46718</v>
      </c>
      <c r="N11" s="6">
        <v>7000</v>
      </c>
      <c r="O11" s="6"/>
      <c r="P11" s="6" t="s">
        <v>54</v>
      </c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8052</v>
      </c>
      <c r="AE11" s="8">
        <v>38666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Y22"/>
  <sheetViews>
    <sheetView topLeftCell="A20" workbookViewId="0">
      <selection activeCell="A20" sqref="A20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1.109375" style="1" customWidth="1"/>
    <col min="15" max="15" width="11.44140625" style="1" customWidth="1"/>
    <col min="16" max="16" width="9.6640625" style="1" customWidth="1"/>
    <col min="17" max="17" width="10.33203125" style="1" customWidth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56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57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38100</v>
      </c>
      <c r="D11" s="3"/>
      <c r="E11" s="3">
        <v>6477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44027</v>
      </c>
      <c r="N11" s="6">
        <v>7500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58</v>
      </c>
      <c r="AA11" s="6"/>
      <c r="AB11" s="8">
        <v>200</v>
      </c>
      <c r="AC11" s="8"/>
      <c r="AD11" s="8">
        <v>8696</v>
      </c>
      <c r="AE11" s="8">
        <v>35331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Y22"/>
  <sheetViews>
    <sheetView topLeftCell="A12" workbookViewId="0">
      <selection activeCell="A12" sqref="A12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59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>
        <v>50</v>
      </c>
      <c r="L11" s="3"/>
      <c r="M11" s="10">
        <v>35302</v>
      </c>
      <c r="N11" s="6">
        <v>10000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63</v>
      </c>
      <c r="AA11" s="6"/>
      <c r="AB11" s="8">
        <v>200</v>
      </c>
      <c r="AC11" s="8"/>
      <c r="AD11" s="8">
        <v>11640</v>
      </c>
      <c r="AE11" s="8">
        <v>23662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Y22"/>
  <sheetViews>
    <sheetView topLeftCell="A14" workbookViewId="0">
      <selection activeCell="A14" sqref="A14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24600</v>
      </c>
      <c r="D11" s="3"/>
      <c r="E11" s="3">
        <v>4182</v>
      </c>
      <c r="F11" s="3"/>
      <c r="G11" s="3">
        <v>5904</v>
      </c>
      <c r="H11" s="3">
        <v>400</v>
      </c>
      <c r="I11" s="3">
        <v>200</v>
      </c>
      <c r="J11" s="3"/>
      <c r="K11" s="3"/>
      <c r="L11" s="3"/>
      <c r="M11" s="10">
        <v>34036</v>
      </c>
      <c r="N11" s="6">
        <v>2500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2940</v>
      </c>
      <c r="AE11" s="8">
        <v>31096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29000</v>
      </c>
      <c r="D11" s="3"/>
      <c r="E11" s="3">
        <v>4930</v>
      </c>
      <c r="F11" s="3"/>
      <c r="G11" s="3">
        <v>6960</v>
      </c>
      <c r="H11" s="3">
        <v>400</v>
      </c>
      <c r="I11" s="3">
        <v>300</v>
      </c>
      <c r="J11" s="3"/>
      <c r="K11" s="3"/>
      <c r="L11" s="3"/>
      <c r="M11" s="10">
        <v>41590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3440</v>
      </c>
      <c r="AE11" s="8">
        <v>38150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AY22"/>
  <sheetViews>
    <sheetView workbookViewId="0">
      <selection activeCell="N5" sqref="N5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  <c r="N5" s="11">
        <v>2</v>
      </c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Y22"/>
  <sheetViews>
    <sheetView workbookViewId="0">
      <selection activeCell="K18" sqref="K18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0"/>
  <dimension ref="A1:AY22"/>
  <sheetViews>
    <sheetView topLeftCell="I4" workbookViewId="0">
      <selection activeCell="AD12" sqref="AD12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1093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34300</v>
      </c>
      <c r="D11" s="3"/>
      <c r="E11" s="3">
        <v>5831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39581</v>
      </c>
      <c r="N11" s="6">
        <v>4000</v>
      </c>
      <c r="O11" s="6"/>
      <c r="P11" s="6" t="s">
        <v>60</v>
      </c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4742</v>
      </c>
      <c r="AE11" s="8">
        <v>34839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1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2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6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7"/>
  <dimension ref="A1:AY22"/>
  <sheetViews>
    <sheetView workbookViewId="0">
      <selection activeCell="C12" sqref="C12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8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61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33000</v>
      </c>
      <c r="D11" s="3"/>
      <c r="E11" s="3">
        <v>5610</v>
      </c>
      <c r="F11" s="3"/>
      <c r="G11" s="3">
        <v>7920</v>
      </c>
      <c r="H11" s="3">
        <v>400</v>
      </c>
      <c r="I11" s="3">
        <v>300</v>
      </c>
      <c r="J11" s="3"/>
      <c r="K11" s="3">
        <v>50</v>
      </c>
      <c r="L11" s="3"/>
      <c r="M11" s="10">
        <v>46030</v>
      </c>
      <c r="N11" s="6">
        <v>5000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5440</v>
      </c>
      <c r="AE11" s="8">
        <v>40590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7344</v>
      </c>
      <c r="H11" s="3">
        <v>400</v>
      </c>
      <c r="I11" s="3">
        <v>300</v>
      </c>
      <c r="J11" s="3"/>
      <c r="K11" s="3"/>
      <c r="L11" s="3"/>
      <c r="M11" s="10">
        <v>42596</v>
      </c>
      <c r="N11" s="6">
        <v>2000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62</v>
      </c>
      <c r="AA11" s="6"/>
      <c r="AB11" s="8">
        <v>200</v>
      </c>
      <c r="AC11" s="8"/>
      <c r="AD11" s="8">
        <v>3265</v>
      </c>
      <c r="AE11" s="8">
        <v>39321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0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3000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3560</v>
      </c>
      <c r="AE11" s="8">
        <v>41010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5000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5560</v>
      </c>
      <c r="AE11" s="8">
        <v>39010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2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35252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3440</v>
      </c>
      <c r="AE11" s="8">
        <v>31812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UserFormSheet</vt:lpstr>
      <vt:lpstr>UserFormSheet (2)</vt:lpstr>
      <vt:lpstr>S S KESARKAR</vt:lpstr>
      <vt:lpstr>Siddhant S Raje</vt:lpstr>
      <vt:lpstr>V M MANDREKAR</vt:lpstr>
      <vt:lpstr>M  D RANE</vt:lpstr>
      <vt:lpstr>D G RATHOD</vt:lpstr>
      <vt:lpstr>D L LAD</vt:lpstr>
      <vt:lpstr>R R SAWNANT </vt:lpstr>
      <vt:lpstr>S D BAMBALE</vt:lpstr>
      <vt:lpstr>M V CHANDRAN</vt:lpstr>
      <vt:lpstr>P D CHAVAN</vt:lpstr>
      <vt:lpstr>R S GAJARMAL</vt:lpstr>
      <vt:lpstr>L D HADKAR</vt:lpstr>
      <vt:lpstr>S P MORE</vt:lpstr>
      <vt:lpstr>S M NAIK</vt:lpstr>
      <vt:lpstr>M B YADAV</vt:lpstr>
      <vt:lpstr>D B GHOLE</vt:lpstr>
      <vt:lpstr>U M KOLI</vt:lpstr>
      <vt:lpstr>D S NAKAYE</vt:lpstr>
      <vt:lpstr>S V PAGARE</vt:lpstr>
      <vt:lpstr>R R SARVANKAR</vt:lpstr>
      <vt:lpstr>H B SURYAVANSHI</vt:lpstr>
      <vt:lpstr>K G BALANDE</vt:lpstr>
      <vt:lpstr>S V KALE</vt:lpstr>
      <vt:lpstr>S G BANGAL</vt:lpstr>
      <vt:lpstr>A V GHANVAT</vt:lpstr>
      <vt:lpstr>S V HURNEKAR</vt:lpstr>
      <vt:lpstr>C S MUTTHU</vt:lpstr>
      <vt:lpstr>S G KUVLEKAR</vt:lpstr>
      <vt:lpstr>K D MOHITE</vt:lpstr>
      <vt:lpstr>S S RANGANKAR</vt:lpstr>
      <vt:lpstr>S N SHETTY</vt:lpstr>
      <vt:lpstr>R J SHINDE</vt:lpstr>
      <vt:lpstr>P R UNVHANE</vt:lpstr>
      <vt:lpstr>TEMPORary</vt:lpstr>
      <vt:lpstr>n s bordekar</vt:lpstr>
      <vt:lpstr>a b zore</vt:lpstr>
      <vt:lpstr>a a datt</vt:lpstr>
      <vt:lpstr>n d sharma</vt:lpstr>
      <vt:lpstr>S R BARVE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Jondhale</dc:creator>
  <cp:lastModifiedBy>Siddhant Raje</cp:lastModifiedBy>
  <dcterms:created xsi:type="dcterms:W3CDTF">2020-12-09T10:09:45Z</dcterms:created>
  <dcterms:modified xsi:type="dcterms:W3CDTF">2021-01-16T17:28:44Z</dcterms:modified>
</cp:coreProperties>
</file>